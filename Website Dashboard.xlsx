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37037778cc6487/Working - OneDrive/Downloads/Tugas Latsar/Implementasi Aktualisasi/SIMONTARA/"/>
    </mc:Choice>
  </mc:AlternateContent>
  <xr:revisionPtr revIDLastSave="2180" documentId="13_ncr:1_{D07EB6B0-4AB1-471B-8336-63E6E37B9747}" xr6:coauthVersionLast="47" xr6:coauthVersionMax="47" xr10:uidLastSave="{E05C9520-7709-4675-B132-96C5D3924FA2}"/>
  <bookViews>
    <workbookView xWindow="-120" yWindow="-120" windowWidth="29040" windowHeight="15720" tabRatio="930" activeTab="3" xr2:uid="{00000000-000D-0000-FFFF-FFFF00000000}"/>
  </bookViews>
  <sheets>
    <sheet name="MONITORING " sheetId="7" r:id="rId1"/>
    <sheet name="Monitoring_LS" sheetId="4" r:id="rId2"/>
    <sheet name="Monitoring_UP,KKP,TUP" sheetId="5" r:id="rId3"/>
    <sheet name="RAW_SP2D" sheetId="3" r:id="rId4"/>
    <sheet name="X" sheetId="2" r:id="rId5"/>
    <sheet name="Master_Data" sheetId="6" r:id="rId6"/>
  </sheets>
  <definedNames>
    <definedName name="_xlnm.Print_Area" localSheetId="0">'MONITORING '!$B$1:$S$41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3" l="1"/>
  <c r="Q31" i="3"/>
  <c r="O31" i="3"/>
  <c r="O30" i="3"/>
  <c r="Q28" i="3"/>
  <c r="Q27" i="3"/>
  <c r="Q26" i="3"/>
  <c r="Q25" i="3"/>
  <c r="Q24" i="3"/>
  <c r="Q23" i="3"/>
  <c r="P24" i="3"/>
  <c r="P23" i="3"/>
  <c r="P25" i="3"/>
  <c r="P28" i="3"/>
  <c r="P27" i="3"/>
  <c r="P26" i="3"/>
  <c r="P29" i="3"/>
  <c r="O6" i="3"/>
  <c r="O5" i="3"/>
  <c r="D8" i="7"/>
  <c r="I30" i="7"/>
  <c r="G30" i="7"/>
  <c r="M48" i="4"/>
  <c r="I37" i="7" s="1"/>
  <c r="O19" i="3"/>
  <c r="O18" i="3"/>
  <c r="O7" i="3"/>
  <c r="E48" i="4"/>
  <c r="E30" i="7" s="1"/>
  <c r="E38" i="7" s="1"/>
  <c r="D39" i="5"/>
  <c r="K40" i="5"/>
  <c r="M40" i="5"/>
  <c r="K41" i="5"/>
  <c r="M41" i="5"/>
  <c r="H41" i="5"/>
  <c r="J45" i="4"/>
  <c r="K39" i="5"/>
  <c r="M39" i="5"/>
  <c r="K20" i="5"/>
  <c r="M20" i="5"/>
  <c r="K21" i="5"/>
  <c r="M21" i="5"/>
  <c r="K22" i="5"/>
  <c r="M22" i="5"/>
  <c r="K23" i="5"/>
  <c r="M23" i="5"/>
  <c r="K24" i="5"/>
  <c r="M24" i="5"/>
  <c r="K25" i="5"/>
  <c r="M25" i="5"/>
  <c r="K26" i="5"/>
  <c r="M26" i="5"/>
  <c r="K27" i="5"/>
  <c r="M27" i="5"/>
  <c r="K28" i="5"/>
  <c r="M28" i="5"/>
  <c r="K29" i="5"/>
  <c r="M29" i="5"/>
  <c r="K30" i="5"/>
  <c r="M30" i="5"/>
  <c r="K31" i="5"/>
  <c r="M31" i="5"/>
  <c r="K32" i="5"/>
  <c r="M32" i="5"/>
  <c r="K33" i="5"/>
  <c r="M33" i="5"/>
  <c r="K34" i="5"/>
  <c r="M34" i="5"/>
  <c r="K35" i="5"/>
  <c r="M35" i="5"/>
  <c r="K36" i="5"/>
  <c r="M36" i="5"/>
  <c r="K37" i="5"/>
  <c r="M37" i="5"/>
  <c r="K38" i="5"/>
  <c r="M38" i="5"/>
  <c r="K14" i="5"/>
  <c r="K15" i="5"/>
  <c r="K16" i="5"/>
  <c r="K17" i="5"/>
  <c r="K18" i="5"/>
  <c r="K19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16" i="5"/>
  <c r="H17" i="5"/>
  <c r="H18" i="5"/>
  <c r="H19" i="5"/>
  <c r="H20" i="5"/>
  <c r="H21" i="5"/>
  <c r="H22" i="5"/>
  <c r="H23" i="5"/>
  <c r="K7" i="5"/>
  <c r="K8" i="5"/>
  <c r="K9" i="5"/>
  <c r="K10" i="5"/>
  <c r="K11" i="5"/>
  <c r="K12" i="5"/>
  <c r="K13" i="5"/>
  <c r="H7" i="5"/>
  <c r="H8" i="5"/>
  <c r="H9" i="5"/>
  <c r="H10" i="5"/>
  <c r="H11" i="5"/>
  <c r="H12" i="5"/>
  <c r="H13" i="5"/>
  <c r="H14" i="5"/>
  <c r="H15" i="5"/>
  <c r="H6" i="5"/>
  <c r="H5" i="5"/>
  <c r="H60" i="5"/>
  <c r="G37" i="7" s="1"/>
  <c r="I10" i="5"/>
  <c r="K6" i="5"/>
  <c r="I5" i="5"/>
  <c r="K5" i="5"/>
  <c r="H61" i="5"/>
  <c r="G36" i="7" s="1"/>
  <c r="H63" i="5"/>
  <c r="G34" i="7" s="1"/>
  <c r="H64" i="5"/>
  <c r="G33" i="7" s="1"/>
  <c r="H65" i="5"/>
  <c r="G32" i="7" s="1"/>
  <c r="H66" i="5"/>
  <c r="G31" i="7" s="1"/>
  <c r="O30" i="4"/>
  <c r="O31" i="4"/>
  <c r="O32" i="4"/>
  <c r="O33" i="4"/>
  <c r="O34" i="4"/>
  <c r="O35" i="4"/>
  <c r="O36" i="4"/>
  <c r="O37" i="4"/>
  <c r="O28" i="4"/>
  <c r="O27" i="4"/>
  <c r="O26" i="4"/>
  <c r="O25" i="4"/>
  <c r="O24" i="4"/>
  <c r="O23" i="4"/>
  <c r="O22" i="4"/>
  <c r="O21" i="4"/>
  <c r="O20" i="4"/>
  <c r="O19" i="4"/>
  <c r="O18" i="4"/>
  <c r="O17" i="4"/>
  <c r="O29" i="4"/>
  <c r="O38" i="4"/>
  <c r="O39" i="4"/>
  <c r="O40" i="4"/>
  <c r="O41" i="4"/>
  <c r="O42" i="4"/>
  <c r="O43" i="4"/>
  <c r="M17" i="5"/>
  <c r="M18" i="5"/>
  <c r="M19" i="5"/>
  <c r="M8" i="5"/>
  <c r="M9" i="5"/>
  <c r="M10" i="5"/>
  <c r="M11" i="5"/>
  <c r="M12" i="5"/>
  <c r="M13" i="5"/>
  <c r="M14" i="5"/>
  <c r="M15" i="5"/>
  <c r="M16" i="5"/>
  <c r="M7" i="5"/>
  <c r="M6" i="5"/>
  <c r="M5" i="5"/>
  <c r="O13" i="4"/>
  <c r="O15" i="4"/>
  <c r="O16" i="4"/>
  <c r="L14" i="4"/>
  <c r="L13" i="4"/>
  <c r="L6" i="4"/>
  <c r="L7" i="4"/>
  <c r="L8" i="4"/>
  <c r="L9" i="4"/>
  <c r="L10" i="4"/>
  <c r="L11" i="4"/>
  <c r="L12" i="4"/>
  <c r="L5" i="4"/>
  <c r="O8" i="4"/>
  <c r="O9" i="4"/>
  <c r="O10" i="4"/>
  <c r="O5" i="4"/>
  <c r="O6" i="4"/>
  <c r="O7" i="4"/>
  <c r="O12" i="4"/>
  <c r="E33" i="3"/>
  <c r="K30" i="3"/>
  <c r="H30" i="3"/>
  <c r="J30" i="3" s="1"/>
  <c r="I29" i="3"/>
  <c r="E29" i="3"/>
  <c r="O17" i="3" s="1"/>
  <c r="K22" i="3"/>
  <c r="H22" i="3"/>
  <c r="J22" i="3" s="1"/>
  <c r="E21" i="3"/>
  <c r="O15" i="3" s="1"/>
  <c r="K18" i="3"/>
  <c r="H18" i="3"/>
  <c r="J18" i="3" s="1"/>
  <c r="E17" i="3"/>
  <c r="O14" i="3" s="1"/>
  <c r="K14" i="3"/>
  <c r="H14" i="3"/>
  <c r="E13" i="3"/>
  <c r="O13" i="3" s="1"/>
  <c r="K10" i="3"/>
  <c r="H10" i="3"/>
  <c r="J10" i="3" s="1"/>
  <c r="E9" i="3"/>
  <c r="O12" i="3" s="1"/>
  <c r="F4" i="3"/>
  <c r="D4" i="3"/>
  <c r="AP54" i="2"/>
  <c r="AO54" i="2"/>
  <c r="AO55" i="2" s="1"/>
  <c r="AQ53" i="2"/>
  <c r="AP53" i="2"/>
  <c r="AQ52" i="2"/>
  <c r="AP52" i="2"/>
  <c r="AQ51" i="2"/>
  <c r="AP51" i="2"/>
  <c r="AQ50" i="2"/>
  <c r="AP50" i="2"/>
  <c r="AQ49" i="2"/>
  <c r="AP49" i="2"/>
  <c r="AQ48" i="2"/>
  <c r="AP48" i="2"/>
  <c r="AP42" i="2"/>
  <c r="AO42" i="2"/>
  <c r="AO43" i="2" s="1"/>
  <c r="AQ41" i="2"/>
  <c r="AP41" i="2"/>
  <c r="AQ40" i="2"/>
  <c r="AP40" i="2"/>
  <c r="AQ39" i="2"/>
  <c r="AP39" i="2"/>
  <c r="AQ38" i="2"/>
  <c r="AP38" i="2"/>
  <c r="AQ37" i="2"/>
  <c r="AP37" i="2"/>
  <c r="AQ36" i="2"/>
  <c r="AP36" i="2"/>
  <c r="AP30" i="2"/>
  <c r="F32" i="3" s="1"/>
  <c r="AO30" i="2"/>
  <c r="AO31" i="2" s="1"/>
  <c r="AQ29" i="2"/>
  <c r="F27" i="3" s="1"/>
  <c r="AP29" i="2"/>
  <c r="F24" i="3" s="1"/>
  <c r="AQ28" i="2"/>
  <c r="F26" i="3" s="1"/>
  <c r="AP28" i="2"/>
  <c r="F23" i="3" s="1"/>
  <c r="AQ27" i="2"/>
  <c r="F20" i="3" s="1"/>
  <c r="AP27" i="2"/>
  <c r="F19" i="3" s="1"/>
  <c r="AQ26" i="2"/>
  <c r="F16" i="3" s="1"/>
  <c r="AP26" i="2"/>
  <c r="F15" i="3" s="1"/>
  <c r="AQ25" i="2"/>
  <c r="F12" i="3" s="1"/>
  <c r="AP25" i="2"/>
  <c r="AQ24" i="2"/>
  <c r="F8" i="3" s="1"/>
  <c r="AP24" i="2"/>
  <c r="F7" i="3" s="1"/>
  <c r="AP18" i="2"/>
  <c r="D32" i="3" s="1"/>
  <c r="AO18" i="2"/>
  <c r="AO19" i="2" s="1"/>
  <c r="AQ17" i="2"/>
  <c r="D27" i="3" s="1"/>
  <c r="AP17" i="2"/>
  <c r="D24" i="3" s="1"/>
  <c r="AQ16" i="2"/>
  <c r="D26" i="3" s="1"/>
  <c r="AP16" i="2"/>
  <c r="D23" i="3" s="1"/>
  <c r="AQ15" i="2"/>
  <c r="AP15" i="2"/>
  <c r="D19" i="3" s="1"/>
  <c r="AQ14" i="2"/>
  <c r="D16" i="3" s="1"/>
  <c r="AP14" i="2"/>
  <c r="D15" i="3" s="1"/>
  <c r="AQ13" i="2"/>
  <c r="D12" i="3" s="1"/>
  <c r="AP13" i="2"/>
  <c r="D11" i="3" s="1"/>
  <c r="AQ12" i="2"/>
  <c r="D8" i="3" s="1"/>
  <c r="AP12" i="2"/>
  <c r="D7" i="3" s="1"/>
  <c r="M53" i="4"/>
  <c r="G27" i="3" s="1"/>
  <c r="M52" i="4"/>
  <c r="G26" i="3" s="1"/>
  <c r="M51" i="4"/>
  <c r="G20" i="3" s="1"/>
  <c r="M50" i="4"/>
  <c r="G16" i="3" s="1"/>
  <c r="M49" i="4"/>
  <c r="G12" i="3" s="1"/>
  <c r="G8" i="3"/>
  <c r="I48" i="4"/>
  <c r="I31" i="7" s="1"/>
  <c r="O11" i="4"/>
  <c r="R31" i="3" l="1"/>
  <c r="G32" i="3"/>
  <c r="P18" i="3" s="1"/>
  <c r="I32" i="7"/>
  <c r="I38" i="7" s="1"/>
  <c r="AP55" i="2"/>
  <c r="I33" i="7"/>
  <c r="I34" i="7"/>
  <c r="I35" i="7"/>
  <c r="I36" i="7"/>
  <c r="R18" i="3"/>
  <c r="Q18" i="3"/>
  <c r="O8" i="3"/>
  <c r="C7" i="7"/>
  <c r="F21" i="3"/>
  <c r="O16" i="3"/>
  <c r="O20" i="3" s="1"/>
  <c r="D5" i="5"/>
  <c r="H62" i="5"/>
  <c r="G35" i="7" s="1"/>
  <c r="G38" i="7" s="1"/>
  <c r="I57" i="5"/>
  <c r="G7" i="3"/>
  <c r="G24" i="3"/>
  <c r="G19" i="3"/>
  <c r="L19" i="3" s="1"/>
  <c r="G11" i="3"/>
  <c r="L11" i="3" s="1"/>
  <c r="L32" i="3"/>
  <c r="G23" i="3"/>
  <c r="L8" i="3"/>
  <c r="L16" i="3"/>
  <c r="L20" i="3"/>
  <c r="O14" i="4"/>
  <c r="J14" i="3"/>
  <c r="AQ55" i="2"/>
  <c r="L12" i="3"/>
  <c r="E54" i="4"/>
  <c r="G31" i="3"/>
  <c r="P19" i="3" s="1"/>
  <c r="AP31" i="2"/>
  <c r="F25" i="3"/>
  <c r="AQ19" i="2"/>
  <c r="AQ43" i="2"/>
  <c r="E4" i="3"/>
  <c r="E35" i="3"/>
  <c r="F28" i="3"/>
  <c r="H27" i="3"/>
  <c r="I27" i="3" s="1"/>
  <c r="M54" i="4"/>
  <c r="M55" i="4" s="1"/>
  <c r="I54" i="4"/>
  <c r="D28" i="3"/>
  <c r="H16" i="3"/>
  <c r="K16" i="3"/>
  <c r="D25" i="3"/>
  <c r="D13" i="3"/>
  <c r="F17" i="3"/>
  <c r="F9" i="3"/>
  <c r="K20" i="3"/>
  <c r="H20" i="3"/>
  <c r="G28" i="3"/>
  <c r="P5" i="3" s="1"/>
  <c r="K12" i="3"/>
  <c r="H12" i="3"/>
  <c r="I12" i="3" s="1"/>
  <c r="D9" i="3"/>
  <c r="D17" i="3"/>
  <c r="K8" i="3"/>
  <c r="H8" i="3"/>
  <c r="I8" i="3" s="1"/>
  <c r="AP43" i="2"/>
  <c r="H26" i="3"/>
  <c r="D31" i="3"/>
  <c r="D20" i="3"/>
  <c r="F31" i="3"/>
  <c r="F33" i="3" s="1"/>
  <c r="AP19" i="2"/>
  <c r="F11" i="3"/>
  <c r="F13" i="3" s="1"/>
  <c r="AQ31" i="2"/>
  <c r="F29" i="3" l="1"/>
  <c r="R19" i="3"/>
  <c r="Q19" i="3"/>
  <c r="G7" i="7"/>
  <c r="L28" i="3"/>
  <c r="L7" i="3"/>
  <c r="L31" i="3"/>
  <c r="P7" i="3"/>
  <c r="Q7" i="3" s="1"/>
  <c r="H67" i="5"/>
  <c r="G15" i="3"/>
  <c r="L15" i="3" s="1"/>
  <c r="H7" i="3"/>
  <c r="K7" i="3"/>
  <c r="G9" i="3"/>
  <c r="P12" i="3" s="1"/>
  <c r="H24" i="3"/>
  <c r="H32" i="3"/>
  <c r="K32" i="3"/>
  <c r="G21" i="3"/>
  <c r="H19" i="3"/>
  <c r="J19" i="3" s="1"/>
  <c r="G13" i="3"/>
  <c r="K11" i="3"/>
  <c r="H23" i="3"/>
  <c r="J23" i="3" s="1"/>
  <c r="K19" i="3"/>
  <c r="G25" i="3"/>
  <c r="L25" i="3" s="1"/>
  <c r="AO56" i="2"/>
  <c r="AO20" i="2"/>
  <c r="AO32" i="2"/>
  <c r="J20" i="3"/>
  <c r="AO44" i="2"/>
  <c r="I16" i="3"/>
  <c r="J16" i="3"/>
  <c r="O54" i="4"/>
  <c r="D21" i="3"/>
  <c r="J27" i="3"/>
  <c r="H11" i="3"/>
  <c r="I26" i="3"/>
  <c r="H28" i="3"/>
  <c r="F35" i="3"/>
  <c r="G33" i="3"/>
  <c r="H31" i="3"/>
  <c r="K31" i="3"/>
  <c r="K28" i="3"/>
  <c r="D29" i="3"/>
  <c r="J26" i="3"/>
  <c r="I20" i="3"/>
  <c r="J8" i="3"/>
  <c r="J12" i="3"/>
  <c r="D33" i="3"/>
  <c r="P6" i="3" l="1"/>
  <c r="Q6" i="3" s="1"/>
  <c r="L9" i="3"/>
  <c r="L21" i="3"/>
  <c r="P15" i="3"/>
  <c r="D35" i="3"/>
  <c r="L13" i="3"/>
  <c r="P13" i="3"/>
  <c r="G17" i="3"/>
  <c r="H15" i="3"/>
  <c r="J15" i="3" s="1"/>
  <c r="K15" i="3"/>
  <c r="J24" i="3"/>
  <c r="I32" i="3"/>
  <c r="J32" i="3"/>
  <c r="H21" i="3"/>
  <c r="H9" i="3"/>
  <c r="J7" i="3"/>
  <c r="I7" i="3"/>
  <c r="I24" i="3"/>
  <c r="K9" i="3"/>
  <c r="I19" i="3"/>
  <c r="I23" i="3"/>
  <c r="H25" i="3"/>
  <c r="K25" i="3"/>
  <c r="G29" i="3"/>
  <c r="K13" i="3"/>
  <c r="K21" i="3"/>
  <c r="J21" i="3"/>
  <c r="J31" i="3"/>
  <c r="K33" i="3"/>
  <c r="L33" i="3"/>
  <c r="J28" i="3"/>
  <c r="I31" i="3"/>
  <c r="H33" i="3"/>
  <c r="H13" i="3"/>
  <c r="I11" i="3"/>
  <c r="J11" i="3"/>
  <c r="J13" i="3" s="1"/>
  <c r="R15" i="3" l="1"/>
  <c r="Q15" i="3"/>
  <c r="R13" i="3"/>
  <c r="Q13" i="3"/>
  <c r="L29" i="3"/>
  <c r="P17" i="3"/>
  <c r="P16" i="3"/>
  <c r="P20" i="3" s="1"/>
  <c r="R20" i="3" s="1"/>
  <c r="L17" i="3"/>
  <c r="P14" i="3"/>
  <c r="R12" i="3"/>
  <c r="Q12" i="3"/>
  <c r="P8" i="3"/>
  <c r="Q8" i="3" s="1"/>
  <c r="Q5" i="3"/>
  <c r="J17" i="3"/>
  <c r="I15" i="3"/>
  <c r="K17" i="3"/>
  <c r="G35" i="3"/>
  <c r="G4" i="3" s="1"/>
  <c r="N2" i="3" s="1"/>
  <c r="H17" i="3"/>
  <c r="J25" i="3"/>
  <c r="K29" i="3"/>
  <c r="J9" i="3"/>
  <c r="H29" i="3"/>
  <c r="J33" i="3"/>
  <c r="R17" i="3" l="1"/>
  <c r="Q17" i="3"/>
  <c r="K7" i="7"/>
  <c r="R14" i="3"/>
  <c r="Q14" i="3"/>
  <c r="R16" i="3"/>
  <c r="Q16" i="3"/>
  <c r="L35" i="3"/>
  <c r="H35" i="3"/>
  <c r="I35" i="3" s="1"/>
  <c r="I4" i="3" s="1"/>
  <c r="K35" i="3"/>
  <c r="J29" i="3"/>
  <c r="J35" i="3"/>
  <c r="J4" i="3" s="1"/>
  <c r="Q20" i="3" l="1"/>
  <c r="Q7" i="7"/>
  <c r="N3" i="7"/>
  <c r="N7" i="7"/>
  <c r="H4" i="3"/>
  <c r="K4" i="3"/>
  <c r="L4" i="3"/>
</calcChain>
</file>

<file path=xl/sharedStrings.xml><?xml version="1.0" encoding="utf-8"?>
<sst xmlns="http://schemas.openxmlformats.org/spreadsheetml/2006/main" count="857" uniqueCount="375">
  <si>
    <t>Juni 2026</t>
  </si>
  <si>
    <t>No</t>
  </si>
  <si>
    <t>Nama Kegiatan</t>
  </si>
  <si>
    <t>Tanggal BAST</t>
  </si>
  <si>
    <t>No BAHP</t>
  </si>
  <si>
    <t>No Invoice</t>
  </si>
  <si>
    <t>No Kontrak</t>
  </si>
  <si>
    <t>Tanggal Kontrak</t>
  </si>
  <si>
    <t>Nilai Tagihan</t>
  </si>
  <si>
    <t>Tanggal Tagihan Masuk</t>
  </si>
  <si>
    <t>Deadline Pembayaran</t>
  </si>
  <si>
    <t>Penyedia</t>
  </si>
  <si>
    <t>Status Dokumen</t>
  </si>
  <si>
    <t>Reminder</t>
  </si>
  <si>
    <t>No. SPM</t>
  </si>
  <si>
    <t>SP2D</t>
  </si>
  <si>
    <t>Tgl. SP2D</t>
  </si>
  <si>
    <t>Anak</t>
  </si>
  <si>
    <t>Rekap 51</t>
  </si>
  <si>
    <t>Rekap 52</t>
  </si>
  <si>
    <t>Rekap 57</t>
  </si>
  <si>
    <t>Belanja Pegawai</t>
  </si>
  <si>
    <t>Rentan</t>
  </si>
  <si>
    <t>Disabilitas</t>
  </si>
  <si>
    <t>Lansia</t>
  </si>
  <si>
    <t>KPN</t>
  </si>
  <si>
    <t>ODHIV</t>
  </si>
  <si>
    <t>Total</t>
  </si>
  <si>
    <t>KLUSTER</t>
  </si>
  <si>
    <t>LAPORAN REALISASI SP2D TA 2026</t>
  </si>
  <si>
    <t>Per Program; Kegiatan; Output; SubOutput; Komponen; SubKomponen; Akun;</t>
  </si>
  <si>
    <t>Kementerian	:</t>
  </si>
  <si>
    <t>027</t>
  </si>
  <si>
    <t>KEMENTERIAN SOSIAL</t>
  </si>
  <si>
    <t xml:space="preserve">Unit Organisasi	</t>
  </si>
  <si>
    <t>04</t>
  </si>
  <si>
    <t>DITJEN REHABILITASI SOSIAL</t>
  </si>
  <si>
    <t>Satuan Kerja   	:</t>
  </si>
  <si>
    <t>690581</t>
  </si>
  <si>
    <t>SENTRA "INSYAF" DI MEDAN</t>
  </si>
  <si>
    <t>Hal 1 dari</t>
  </si>
  <si>
    <t xml:space="preserve"> 8</t>
  </si>
  <si>
    <t>Uraian</t>
  </si>
  <si>
    <t>Pagu Revisi</t>
  </si>
  <si>
    <t>Lock Pagu</t>
  </si>
  <si>
    <t>Realisasi TA 2026</t>
  </si>
  <si>
    <t>SISA ANGGARAN</t>
  </si>
  <si>
    <t>Periode Lalu</t>
  </si>
  <si>
    <t>Periode Ini</t>
  </si>
  <si>
    <t xml:space="preserve">s.d. Periode </t>
  </si>
  <si>
    <t>%</t>
  </si>
  <si>
    <t>JUMLAH SELURUHNYA</t>
  </si>
  <si>
    <t>DQ</t>
  </si>
  <si>
    <t>Program Perlindungan Sosial</t>
  </si>
  <si>
    <t>Total Pagu</t>
  </si>
  <si>
    <t>DQ.6277</t>
  </si>
  <si>
    <t>Asistensi Rehabilitasi Sosial Kelompok Rentan</t>
  </si>
  <si>
    <t>QAA</t>
  </si>
  <si>
    <t>Pelayanan Publik kepada masyarakat</t>
  </si>
  <si>
    <t>QAA.101</t>
  </si>
  <si>
    <t>Kelompok Rentan yang Mendapatkan Asistensi Rehabilitasi Sosial</t>
  </si>
  <si>
    <t>103</t>
  </si>
  <si>
    <t>Asesmen Komprehensif</t>
  </si>
  <si>
    <t>103.0A</t>
  </si>
  <si>
    <t>Pelaksanaan Assesmen</t>
  </si>
  <si>
    <t>524111</t>
  </si>
  <si>
    <t>Belanja Perjalanan Dinas Biasa</t>
  </si>
  <si>
    <t>524113</t>
  </si>
  <si>
    <t>Belanja Perjalanan Dinas Dalam Kota</t>
  </si>
  <si>
    <t>105</t>
  </si>
  <si>
    <t>Asistensi Rehabilitasi Sosial (ATENSI)</t>
  </si>
  <si>
    <t>105.0A</t>
  </si>
  <si>
    <t>bantuan atensi</t>
  </si>
  <si>
    <t>571111</t>
  </si>
  <si>
    <t>Belanja Bantuan Sosial Untuk Rehabilitasi Sosial Dalam Bentuk Uang</t>
  </si>
  <si>
    <t>571112</t>
  </si>
  <si>
    <t>Belanja Bantuan Sosial Untuk Rehabilitasi Sosial Dalam Bentuk Barang</t>
  </si>
  <si>
    <t>571113</t>
  </si>
  <si>
    <t>Belanja Bantuan Sosial Untuk Rehabilitasi Sosial Dalam Bentuk Jasa</t>
  </si>
  <si>
    <t>Total Periode Lalu</t>
  </si>
  <si>
    <t>105.0B</t>
  </si>
  <si>
    <t>Pelaksanaan atensi</t>
  </si>
  <si>
    <t>521211</t>
  </si>
  <si>
    <t>Belanja Bahan</t>
  </si>
  <si>
    <t>522141</t>
  </si>
  <si>
    <t>Belanja Sewa</t>
  </si>
  <si>
    <t>107</t>
  </si>
  <si>
    <t>Monev</t>
  </si>
  <si>
    <t>107.0A</t>
  </si>
  <si>
    <t>monitoring evaluasi</t>
  </si>
  <si>
    <t>DQ.6278</t>
  </si>
  <si>
    <t>Asistensi Rehabilitasi Sosial Penyandang Disabilitas</t>
  </si>
  <si>
    <t>*Lock Pagu adalah jumlah pagu yang sedang dalam proses usulan revisi DIPA atau POK. Lock pagu akan hilang setelah usulan revisi DIPA/POK selesai menjadi DIPA.
*SPM Koreksi dalam proses akan masuk sebagai realisasi akhir</t>
  </si>
  <si>
    <t>Total Saat ini</t>
  </si>
  <si>
    <t>Penyandang Disabilitas yang Mendapatkan Asistensi Rehabilitasi Sosial</t>
  </si>
  <si>
    <t>005</t>
  </si>
  <si>
    <t>Dukungan Penyelenggaraan Tugas dan Fungsi Unit</t>
  </si>
  <si>
    <t>005.0A</t>
  </si>
  <si>
    <t>Pendukung atensi residensial</t>
  </si>
  <si>
    <t>521112</t>
  </si>
  <si>
    <t>Belanja Pengadaan Bahan Makanan</t>
  </si>
  <si>
    <t>521219</t>
  </si>
  <si>
    <t>Belanja Barang Non Operasional Lainnya</t>
  </si>
  <si>
    <t>521811</t>
  </si>
  <si>
    <t>Belanja Barang Persediaan Barang Konsumsi</t>
  </si>
  <si>
    <t>521832</t>
  </si>
  <si>
    <t>Belanja Barang Persediaan Lainnya</t>
  </si>
  <si>
    <t>522191</t>
  </si>
  <si>
    <t>Belanja Jasa Lainnya</t>
  </si>
  <si>
    <t>Assesment</t>
  </si>
  <si>
    <t>S.d saat ini</t>
  </si>
  <si>
    <t>Impementasi bantuan atensi</t>
  </si>
  <si>
    <t>pelaksanaan  atensi non residensial</t>
  </si>
  <si>
    <t>524112</t>
  </si>
  <si>
    <t>Belanja Perjalanan Dinas Tetap</t>
  </si>
  <si>
    <t>QEG</t>
  </si>
  <si>
    <t>Bantuan Peralatan / Sarana</t>
  </si>
  <si>
    <t>QEG.102</t>
  </si>
  <si>
    <t>Tersedianya Alat Bantu Aksesibilitas Penyandang Disabilitas</t>
  </si>
  <si>
    <t>101</t>
  </si>
  <si>
    <t>Alat Bantu Aksesibilitas Penyandang Disabilitas</t>
  </si>
  <si>
    <t>101.0A</t>
  </si>
  <si>
    <t>alat bantu</t>
  </si>
  <si>
    <t>DQ.6279</t>
  </si>
  <si>
    <t>Asistensi Rehabilitasi Sosial Anak</t>
  </si>
  <si>
    <t>Anak yang Membutuhkan Perlindungan Khusus yang Mendapatkan Asistensi Rehabilitasi Sosial</t>
  </si>
  <si>
    <t>Pendukung atensi</t>
  </si>
  <si>
    <t>implementasi bantuan atensi anak</t>
  </si>
  <si>
    <t>pelaksanaan atensi</t>
  </si>
  <si>
    <t>107.0C</t>
  </si>
  <si>
    <t>monitoring dan evaluasi</t>
  </si>
  <si>
    <t>DQ.6280</t>
  </si>
  <si>
    <t>Asistensi Rehabilitasi Sosial Lanjut Usia</t>
  </si>
  <si>
    <t>Lanjut Usia yang Mendapatkan Asistensi  Rehabilitasi Sosial</t>
  </si>
  <si>
    <t>assesment</t>
  </si>
  <si>
    <t>Asistensi  Rehabilitasi Sosial (ATENSI)</t>
  </si>
  <si>
    <t>impementasi bantuan atensi bagi lansia</t>
  </si>
  <si>
    <t>DQ.7992</t>
  </si>
  <si>
    <t>Asistensi Rehabilitasi Sosial Korban Penyalahgunaan Napza dan ODHIV</t>
  </si>
  <si>
    <t>Korban Penyalahgunaan Napza yang Mendapatkan Asistensi Rehabilitasi Sosial</t>
  </si>
  <si>
    <t>Asesmen dan Komperhensif</t>
  </si>
  <si>
    <t>Pelaksanaan asessment</t>
  </si>
  <si>
    <t>Bantuan tensi  bagi korban Penyalahgunaan Napza</t>
  </si>
  <si>
    <t>Monitoring evaluasi</t>
  </si>
  <si>
    <t>QAA.102</t>
  </si>
  <si>
    <t>Orang Dengan HIV yang Mendapatkan Asistensi Rehabilitasi Sosial</t>
  </si>
  <si>
    <t>Bantuan atensi bagi  orang dengan HIV</t>
  </si>
  <si>
    <t>Pelaksanaan Atensi</t>
  </si>
  <si>
    <t>Pelaksanaan Monitoring dan evaluasi</t>
  </si>
  <si>
    <t>WA</t>
  </si>
  <si>
    <t>Program Dukungan Manajemen</t>
  </si>
  <si>
    <t>WA.6301</t>
  </si>
  <si>
    <t>Pengelolaan Perencanaan, Keuangan, BMN, dan Umum Rehabilitasi Sosial</t>
  </si>
  <si>
    <t>EBA</t>
  </si>
  <si>
    <t>Layanan Dukungan Manajemen Internal</t>
  </si>
  <si>
    <t>EBA.962</t>
  </si>
  <si>
    <t>Layanan Umum</t>
  </si>
  <si>
    <t>Pengelolaan Kerumahtanggaan Direktorat Jenderal Rehabilitasi Sosial</t>
  </si>
  <si>
    <t>pengelolaan kepegawaian</t>
  </si>
  <si>
    <t>102</t>
  </si>
  <si>
    <t>Pengelolaan Ketatausahaan Direktorat Jenderal Rehabilitasi Sosial</t>
  </si>
  <si>
    <t>102.0A</t>
  </si>
  <si>
    <t>pengelolaan urusan keuangan</t>
  </si>
  <si>
    <t>521115</t>
  </si>
  <si>
    <t>Belanja Honor Operasional Satuan Kerja</t>
  </si>
  <si>
    <t>102.0B</t>
  </si>
  <si>
    <t>penyusunan rencana program anggaran</t>
  </si>
  <si>
    <t>102.0D</t>
  </si>
  <si>
    <t>monitoring dan evaluasi program</t>
  </si>
  <si>
    <t>102.0H</t>
  </si>
  <si>
    <t>koordinasi lintas instansi</t>
  </si>
  <si>
    <t>EBA.994</t>
  </si>
  <si>
    <t>Layanan Perkantoran</t>
  </si>
  <si>
    <t>001</t>
  </si>
  <si>
    <t>Gaji dan Tunjangan</t>
  </si>
  <si>
    <t>001.0A</t>
  </si>
  <si>
    <t>TANPA SUB KOMPONEN</t>
  </si>
  <si>
    <t>511111</t>
  </si>
  <si>
    <t>Belanja Gaji Pokok PNS</t>
  </si>
  <si>
    <t>511119</t>
  </si>
  <si>
    <t>Belanja Pembulatan Gaji PNS</t>
  </si>
  <si>
    <t>511121</t>
  </si>
  <si>
    <t>Belanja Tunj. Suami/Istri PNS</t>
  </si>
  <si>
    <t>511122</t>
  </si>
  <si>
    <t>Belanja Tunj. Anak PNS</t>
  </si>
  <si>
    <t>511123</t>
  </si>
  <si>
    <t>Belanja Tunj. Struktural PNS</t>
  </si>
  <si>
    <t>511124</t>
  </si>
  <si>
    <t>Belanja Tunj. Fungsional PNS</t>
  </si>
  <si>
    <t>511125</t>
  </si>
  <si>
    <t>Belanja Tunj. PPh PNS</t>
  </si>
  <si>
    <t>511126</t>
  </si>
  <si>
    <t>Belanja Tunj. Beras PNS</t>
  </si>
  <si>
    <t>511129</t>
  </si>
  <si>
    <t>Belanja Uang Makan PNS</t>
  </si>
  <si>
    <t>511151</t>
  </si>
  <si>
    <t>Belanja Tunjangan Umum PNS</t>
  </si>
  <si>
    <t>512211</t>
  </si>
  <si>
    <t>Belanja Uang Lembur</t>
  </si>
  <si>
    <t>512411</t>
  </si>
  <si>
    <t>Belanja Pegawai (Tunjangan Khusus/Kegiatan/Kinerja)</t>
  </si>
  <si>
    <t>001.0B</t>
  </si>
  <si>
    <t>PEMBAYARAN GAJI DAN TUNJANGAN PPPK</t>
  </si>
  <si>
    <t>511611</t>
  </si>
  <si>
    <t>Belanja Gaji Pokok PPPK</t>
  </si>
  <si>
    <t>511619</t>
  </si>
  <si>
    <t>Belanja Pembulatan Gaji PPPK</t>
  </si>
  <si>
    <t>511622</t>
  </si>
  <si>
    <t>Belanja Tunjangan Anak PPPK</t>
  </si>
  <si>
    <t>511624</t>
  </si>
  <si>
    <t>Belanja Tunjangan Fungsional PPPK</t>
  </si>
  <si>
    <t>511625</t>
  </si>
  <si>
    <t>Belanja Tunjangan Beras PPPK</t>
  </si>
  <si>
    <t>511628</t>
  </si>
  <si>
    <t>Belanja Uang Makan PPPK</t>
  </si>
  <si>
    <t>511633</t>
  </si>
  <si>
    <t>Belanja Tunjangan Umum PPPK</t>
  </si>
  <si>
    <t>512414</t>
  </si>
  <si>
    <t>Belanja Pegawai Tunjangan Khusus/Kegiatan/Kinerja PPPK</t>
  </si>
  <si>
    <t>002</t>
  </si>
  <si>
    <t>Operasional dan Pemeliharaan Kantor</t>
  </si>
  <si>
    <t>002.0A</t>
  </si>
  <si>
    <t>521111</t>
  </si>
  <si>
    <t>Belanja Keperluan Perkantoran</t>
  </si>
  <si>
    <t>521114</t>
  </si>
  <si>
    <t>Belanja Pengiriman Surat Dinas Pos Pusat</t>
  </si>
  <si>
    <t>522111</t>
  </si>
  <si>
    <t>Belanja Langganan Listrik</t>
  </si>
  <si>
    <t>522119</t>
  </si>
  <si>
    <t>Belanja Langganan Daya dan Jasa Lainnya</t>
  </si>
  <si>
    <t>523111</t>
  </si>
  <si>
    <t>Belanja Pemeliharaan Gedung dan Bangunan</t>
  </si>
  <si>
    <t>523121</t>
  </si>
  <si>
    <t>Belanja Pemeliharaan Peralatan dan Mesin</t>
  </si>
  <si>
    <t>523129</t>
  </si>
  <si>
    <t>Belanja Pemeliharaan Peralatan dan Mesin Lainnya</t>
  </si>
  <si>
    <t>523133</t>
  </si>
  <si>
    <t>Belanja Pemeliharaan Jaringan</t>
  </si>
  <si>
    <t>No. Akun</t>
  </si>
  <si>
    <t>Rencana Penarikan Dana (RPD)</t>
  </si>
  <si>
    <t>Kekurangan /Kelebihan</t>
  </si>
  <si>
    <t>Status Realisasi</t>
  </si>
  <si>
    <t>Lalu</t>
  </si>
  <si>
    <t>Bulan Ini</t>
  </si>
  <si>
    <t>Total Realisasi</t>
  </si>
  <si>
    <t>Sisa Anggaran</t>
  </si>
  <si>
    <t>DQ Program Perlindungan Sosial</t>
  </si>
  <si>
    <t xml:space="preserve">DQ.6277  </t>
  </si>
  <si>
    <t>52</t>
  </si>
  <si>
    <t>Belanja Barang dan Jasa</t>
  </si>
  <si>
    <t>57</t>
  </si>
  <si>
    <t>Belanja Bantuan Sosial</t>
  </si>
  <si>
    <t xml:space="preserve">DQ.6278  </t>
  </si>
  <si>
    <t>Belanja Barang dan Jasa (KPN)</t>
  </si>
  <si>
    <t>Belanja Barang dan Jasa (ODHIV)</t>
  </si>
  <si>
    <t>Total 52</t>
  </si>
  <si>
    <t>Belanja Bantuan Sosial  (KPN)</t>
  </si>
  <si>
    <t>Belanja Bantuan Sosial  (ODHIV)</t>
  </si>
  <si>
    <t>Total 57</t>
  </si>
  <si>
    <t>Total 52 + 57 (KPN &amp; ODHIV)</t>
  </si>
  <si>
    <t xml:space="preserve">51 </t>
  </si>
  <si>
    <t>Kluster</t>
  </si>
  <si>
    <t>Rekap</t>
  </si>
  <si>
    <t>JENIS</t>
  </si>
  <si>
    <t>STATUS DOKUMEN</t>
  </si>
  <si>
    <t>PENYEDIA</t>
  </si>
  <si>
    <t>Proses</t>
  </si>
  <si>
    <t xml:space="preserve">Belum </t>
  </si>
  <si>
    <t>Revisi</t>
  </si>
  <si>
    <t>Sudah Cair</t>
  </si>
  <si>
    <t>CV. SADANA SOLUSI UTAMA</t>
  </si>
  <si>
    <t>CV. MZM KONTRUKSI</t>
  </si>
  <si>
    <t>TOTAL</t>
  </si>
  <si>
    <t>6301 (52)</t>
  </si>
  <si>
    <t>Periode :</t>
  </si>
  <si>
    <t xml:space="preserve">Juni </t>
  </si>
  <si>
    <t>Periode Juni 2026</t>
  </si>
  <si>
    <t>189</t>
  </si>
  <si>
    <t>190</t>
  </si>
  <si>
    <t>Pengadaan Paket Snack dan Nutrisi PPKS Residensial tgl 1-30 April 2026</t>
  </si>
  <si>
    <t>Pengadaan Paket Makanan PPKS Residensial tgl 1-30 April 2026</t>
  </si>
  <si>
    <t>Gaji Juni PNS</t>
  </si>
  <si>
    <t>Gaji Juni PNS_Yuliana</t>
  </si>
  <si>
    <t>Gaji Juni PPPK</t>
  </si>
  <si>
    <t>150</t>
  </si>
  <si>
    <t>151</t>
  </si>
  <si>
    <t>152</t>
  </si>
  <si>
    <t>Gaji 13 PNS</t>
  </si>
  <si>
    <t>Gaji 13 PNS_Yuliana</t>
  </si>
  <si>
    <t>Gaji 13 PPPK</t>
  </si>
  <si>
    <t>185</t>
  </si>
  <si>
    <t>186</t>
  </si>
  <si>
    <t>187</t>
  </si>
  <si>
    <t>Selesai</t>
  </si>
  <si>
    <t>Verifikator</t>
  </si>
  <si>
    <t>Pengadaan Bansos Uang K.Disabilitas di Dairi</t>
  </si>
  <si>
    <t>192</t>
  </si>
  <si>
    <t>193</t>
  </si>
  <si>
    <t>Pengadaan Bansos Uang K.Disabilitas di Humbahas</t>
  </si>
  <si>
    <t>131</t>
  </si>
  <si>
    <t>133</t>
  </si>
  <si>
    <t>0105-4</t>
  </si>
  <si>
    <t>0105-2</t>
  </si>
  <si>
    <t>181</t>
  </si>
  <si>
    <t>180</t>
  </si>
  <si>
    <t>CV. NAHOMBANG RAYA</t>
  </si>
  <si>
    <t>Pengadaan Bansos K.Anak di Kab. Aceh Tamiang</t>
  </si>
  <si>
    <t>Pengadaan Bansos Kewirausahaan K.KPN di Kab. Aceh Tamiang</t>
  </si>
  <si>
    <t>183</t>
  </si>
  <si>
    <t>182</t>
  </si>
  <si>
    <t>CV. PASTAMA MAROS ALTILENRA</t>
  </si>
  <si>
    <t>196</t>
  </si>
  <si>
    <t>197</t>
  </si>
  <si>
    <t>Keterangan</t>
  </si>
  <si>
    <t>Transport Petugas Daerah</t>
  </si>
  <si>
    <t>Tunkin Mei_PNS</t>
  </si>
  <si>
    <t>Tunkin Mei_PNS_Yuliana</t>
  </si>
  <si>
    <t>U.Makan Mei_PNS</t>
  </si>
  <si>
    <t>U.Makan Mei_PNS_Yuliana</t>
  </si>
  <si>
    <t>Tunkin 13 PNS</t>
  </si>
  <si>
    <t>Tunkin 13 PNS_Yuliana</t>
  </si>
  <si>
    <t>Honor Pengelola Keuangan Mei 2026</t>
  </si>
  <si>
    <t>Tunkin Mei PPPK</t>
  </si>
  <si>
    <t>Tunkin 13 PPPK</t>
  </si>
  <si>
    <t>U.Makan Mei PPPK</t>
  </si>
  <si>
    <t>Listrik Juni 2026</t>
  </si>
  <si>
    <t>Honor Dokter &amp; Psikolog Mei 2026</t>
  </si>
  <si>
    <t>Transaksi Melalui UP, KKP, dan TUP</t>
  </si>
  <si>
    <t>Honor Perawat, Fisioterapi, Pembimbing Senam, dan Spiritual</t>
  </si>
  <si>
    <t>Akun</t>
  </si>
  <si>
    <t>Nilai</t>
  </si>
  <si>
    <t>Tgl Masuk Tagihan</t>
  </si>
  <si>
    <t>Transport Petugas Daerah + Uang Harian</t>
  </si>
  <si>
    <t>Sewa Angkutan B.Atensi</t>
  </si>
  <si>
    <t>Penginapan + Uang Harian</t>
  </si>
  <si>
    <t>Uang harian</t>
  </si>
  <si>
    <t>Perjaldin</t>
  </si>
  <si>
    <t>Biaya Penerimaan tamu + Pengeluaran sehari-hari</t>
  </si>
  <si>
    <t>Langganan Googledrive + Capcut</t>
  </si>
  <si>
    <t>Sewa Mobil Isidentil + Angkut Sampah</t>
  </si>
  <si>
    <t>Pemeliharaan Gedung/Bangunan</t>
  </si>
  <si>
    <t>Biaya Pemeliharaan dan Operasional Kendaraan</t>
  </si>
  <si>
    <t>Pemeliharaan Genset</t>
  </si>
  <si>
    <t>Pemeliharaan Jaringan Air</t>
  </si>
  <si>
    <t>Aplikasi E-Klinik</t>
  </si>
  <si>
    <t>Pendukung Klinik</t>
  </si>
  <si>
    <t>Jenis</t>
  </si>
  <si>
    <t>No.</t>
  </si>
  <si>
    <t>G-UP</t>
  </si>
  <si>
    <t>KKP</t>
  </si>
  <si>
    <t xml:space="preserve">Penginapan petugas </t>
  </si>
  <si>
    <t>Pengeluaran sehari-hari</t>
  </si>
  <si>
    <t>Uang Harian  + Penginapan + Transport</t>
  </si>
  <si>
    <t xml:space="preserve">Transport + Uang Harian </t>
  </si>
  <si>
    <t>Uang Harian + Penginapan</t>
  </si>
  <si>
    <t>💰 PAGU ANGGARAN</t>
  </si>
  <si>
    <t>📈  RENCANA PENARIKAN DANA</t>
  </si>
  <si>
    <t>⚠  KEKURANGAN / KELEBIHAN</t>
  </si>
  <si>
    <t xml:space="preserve">   ✅ REALISASI BULAN INI</t>
  </si>
  <si>
    <t xml:space="preserve">       📊 PERSENTASE</t>
  </si>
  <si>
    <t xml:space="preserve">MONITORING REALISASI ANGGARAN </t>
  </si>
  <si>
    <t xml:space="preserve">Daftar LS Kontraktual dan Non Kontraktual </t>
  </si>
  <si>
    <t xml:space="preserve">6301 </t>
  </si>
  <si>
    <t>RPD</t>
  </si>
  <si>
    <t>Realisasi</t>
  </si>
  <si>
    <t>Selisih</t>
  </si>
  <si>
    <t>Persentase</t>
  </si>
  <si>
    <t>LANSIA</t>
  </si>
  <si>
    <t>ANAK</t>
  </si>
  <si>
    <t>DISABILITAS</t>
  </si>
  <si>
    <t>RENTAN</t>
  </si>
  <si>
    <t>Belanja Pegawai (51)</t>
  </si>
  <si>
    <t>Belanja Bansos (57)</t>
  </si>
  <si>
    <t>Belanja Barang Jasa (52)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</si>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</sst>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#,##0.00\ %"/>
    <numFmt numFmtId="165" formatCode="_(* #,##0_);_(* \(#,##0\);_(* &quot;-&quot;??_);_(@_)"/>
    <numFmt numFmtId="166" formatCode="[$-421]dd\ mmmm\ yyyy;@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0"/>
      <color rgb="FF000000"/>
      <name val="SansSerif"/>
      <family val="2"/>
    </font>
    <font>
      <sz val="8"/>
      <color rgb="FF000000"/>
      <name val="SansSerif"/>
      <family val="2"/>
    </font>
    <font>
      <sz val="7"/>
      <color rgb="FF000000"/>
      <name val="SansSerif"/>
      <family val="2"/>
    </font>
    <font>
      <b/>
      <sz val="8"/>
      <color rgb="FF000000"/>
      <name val="SansSerif"/>
      <family val="2"/>
    </font>
    <font>
      <b/>
      <sz val="7"/>
      <color rgb="FF000000"/>
      <name val="SansSerif"/>
      <family val="2"/>
    </font>
    <font>
      <sz val="7"/>
      <color rgb="FFFF0000"/>
      <name val="SansSerif"/>
      <family val="2"/>
    </font>
    <font>
      <sz val="6.5"/>
      <color rgb="FFCC00CC"/>
      <name val="SansSerif"/>
      <family val="2"/>
    </font>
    <font>
      <sz val="7"/>
      <color rgb="FFCC00CC"/>
      <name val="SansSerif"/>
      <family val="2"/>
    </font>
    <font>
      <sz val="7"/>
      <color rgb="FFFF00FF"/>
      <name val="SansSerif"/>
      <family val="2"/>
    </font>
    <font>
      <sz val="7"/>
      <color rgb="FFCC9900"/>
      <name val="SansSerif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0000"/>
      <name val="Aptos Narrow"/>
      <family val="2"/>
    </font>
    <font>
      <b/>
      <sz val="1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5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20"/>
      <color theme="7" tint="-0.249977111117893"/>
      <name val="Aptos Narrow"/>
      <family val="2"/>
    </font>
    <font>
      <b/>
      <sz val="12"/>
      <color theme="3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theme="3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99CC"/>
      </patternFill>
    </fill>
    <fill>
      <patternFill patternType="solid">
        <fgColor rgb="FF00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hair">
        <color auto="1"/>
      </left>
      <right style="hair">
        <color auto="1"/>
      </right>
      <top style="thin">
        <color rgb="FFD9D9D9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FFD9D9D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165" fontId="2" fillId="0" borderId="0">
      <alignment vertical="center"/>
    </xf>
  </cellStyleXfs>
  <cellXfs count="30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right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0" fontId="0" fillId="7" borderId="0" xfId="0" applyFill="1"/>
    <xf numFmtId="0" fontId="0" fillId="7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165" fontId="13" fillId="0" borderId="0" xfId="1" applyNumberFormat="1" applyFont="1"/>
    <xf numFmtId="0" fontId="14" fillId="0" borderId="0" xfId="0" applyFont="1" applyAlignment="1">
      <alignment horizontal="center"/>
    </xf>
    <xf numFmtId="0" fontId="13" fillId="6" borderId="4" xfId="0" applyFont="1" applyFill="1" applyBorder="1" applyAlignment="1">
      <alignment horizontal="center"/>
    </xf>
    <xf numFmtId="165" fontId="13" fillId="6" borderId="4" xfId="1" applyNumberFormat="1" applyFont="1" applyFill="1" applyBorder="1" applyAlignment="1">
      <alignment horizontal="center" vertical="center"/>
    </xf>
    <xf numFmtId="165" fontId="13" fillId="6" borderId="4" xfId="1" applyNumberFormat="1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 vertical="center"/>
    </xf>
    <xf numFmtId="165" fontId="14" fillId="6" borderId="4" xfId="0" applyNumberFormat="1" applyFont="1" applyFill="1" applyBorder="1" applyAlignment="1">
      <alignment horizontal="center" vertical="center"/>
    </xf>
    <xf numFmtId="165" fontId="13" fillId="6" borderId="4" xfId="1" applyNumberFormat="1" applyFont="1" applyFill="1" applyBorder="1"/>
    <xf numFmtId="0" fontId="13" fillId="8" borderId="4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1" fontId="14" fillId="8" borderId="4" xfId="1" applyNumberFormat="1" applyFont="1" applyFill="1" applyBorder="1" applyAlignment="1">
      <alignment horizontal="center" vertical="center"/>
    </xf>
    <xf numFmtId="165" fontId="14" fillId="8" borderId="4" xfId="1" applyNumberFormat="1" applyFont="1" applyFill="1" applyBorder="1" applyAlignment="1">
      <alignment horizontal="center"/>
    </xf>
    <xf numFmtId="0" fontId="17" fillId="9" borderId="19" xfId="0" applyFont="1" applyFill="1" applyBorder="1" applyAlignment="1">
      <alignment horizontal="center" vertical="center" wrapText="1"/>
    </xf>
    <xf numFmtId="166" fontId="17" fillId="9" borderId="19" xfId="0" applyNumberFormat="1" applyFont="1" applyFill="1" applyBorder="1" applyAlignment="1">
      <alignment horizontal="center" vertical="center" wrapText="1"/>
    </xf>
    <xf numFmtId="41" fontId="17" fillId="9" borderId="19" xfId="0" applyNumberFormat="1" applyFont="1" applyFill="1" applyBorder="1" applyAlignment="1">
      <alignment horizontal="center" vertical="center" wrapText="1"/>
    </xf>
    <xf numFmtId="41" fontId="0" fillId="0" borderId="0" xfId="0" applyNumberFormat="1"/>
    <xf numFmtId="0" fontId="0" fillId="0" borderId="0" xfId="0" applyAlignment="1">
      <alignment horizontal="left"/>
    </xf>
    <xf numFmtId="0" fontId="17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41" fontId="0" fillId="0" borderId="0" xfId="0" applyNumberFormat="1" applyAlignment="1">
      <alignment horizontal="left"/>
    </xf>
    <xf numFmtId="0" fontId="20" fillId="0" borderId="20" xfId="0" applyFont="1" applyBorder="1" applyAlignment="1">
      <alignment horizontal="left"/>
    </xf>
    <xf numFmtId="0" fontId="21" fillId="0" borderId="20" xfId="0" applyFont="1" applyBorder="1" applyAlignment="1">
      <alignment horizontal="left"/>
    </xf>
    <xf numFmtId="0" fontId="16" fillId="0" borderId="0" xfId="0" applyFont="1" applyAlignment="1">
      <alignment horizontal="right"/>
    </xf>
    <xf numFmtId="0" fontId="19" fillId="0" borderId="20" xfId="0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7" fillId="9" borderId="1" xfId="0" applyFont="1" applyFill="1" applyBorder="1" applyAlignment="1">
      <alignment horizontal="center" vertical="center" wrapText="1"/>
    </xf>
    <xf numFmtId="166" fontId="17" fillId="9" borderId="1" xfId="0" applyNumberFormat="1" applyFont="1" applyFill="1" applyBorder="1" applyAlignment="1">
      <alignment horizontal="center" vertical="center" wrapText="1"/>
    </xf>
    <xf numFmtId="41" fontId="17" fillId="9" borderId="1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1" fontId="0" fillId="0" borderId="11" xfId="0" applyNumberFormat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41" fontId="0" fillId="0" borderId="11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quotePrefix="1"/>
    <xf numFmtId="0" fontId="15" fillId="12" borderId="0" xfId="0" applyFont="1" applyFill="1"/>
    <xf numFmtId="0" fontId="15" fillId="12" borderId="1" xfId="0" applyFont="1" applyFill="1" applyBorder="1" applyAlignment="1">
      <alignment horizontal="center"/>
    </xf>
    <xf numFmtId="0" fontId="15" fillId="12" borderId="1" xfId="0" applyFont="1" applyFill="1" applyBorder="1"/>
    <xf numFmtId="41" fontId="15" fillId="12" borderId="1" xfId="0" applyNumberFormat="1" applyFont="1" applyFill="1" applyBorder="1"/>
    <xf numFmtId="0" fontId="16" fillId="0" borderId="0" xfId="0" applyFont="1"/>
    <xf numFmtId="165" fontId="0" fillId="0" borderId="0" xfId="1" applyNumberFormat="1" applyFont="1" applyAlignment="1">
      <alignment horizontal="center"/>
    </xf>
    <xf numFmtId="0" fontId="0" fillId="12" borderId="0" xfId="0" applyFill="1" applyAlignment="1">
      <alignment horizontal="center"/>
    </xf>
    <xf numFmtId="0" fontId="15" fillId="12" borderId="0" xfId="0" applyFont="1" applyFill="1" applyAlignment="1">
      <alignment horizontal="center"/>
    </xf>
    <xf numFmtId="165" fontId="15" fillId="12" borderId="0" xfId="0" applyNumberFormat="1" applyFont="1" applyFill="1" applyAlignment="1">
      <alignment horizontal="center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41" fontId="0" fillId="0" borderId="21" xfId="0" applyNumberForma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12" borderId="26" xfId="0" applyFont="1" applyFill="1" applyBorder="1" applyAlignment="1">
      <alignment horizontal="center"/>
    </xf>
    <xf numFmtId="0" fontId="15" fillId="12" borderId="27" xfId="0" applyFont="1" applyFill="1" applyBorder="1"/>
    <xf numFmtId="0" fontId="15" fillId="12" borderId="27" xfId="0" applyFont="1" applyFill="1" applyBorder="1" applyAlignment="1">
      <alignment horizontal="center"/>
    </xf>
    <xf numFmtId="41" fontId="15" fillId="12" borderId="27" xfId="0" applyNumberFormat="1" applyFont="1" applyFill="1" applyBorder="1"/>
    <xf numFmtId="0" fontId="15" fillId="12" borderId="28" xfId="0" applyFont="1" applyFill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5" fontId="18" fillId="2" borderId="1" xfId="1" applyNumberFormat="1" applyFont="1" applyFill="1" applyBorder="1" applyAlignment="1">
      <alignment horizontal="center" vertical="center"/>
    </xf>
    <xf numFmtId="165" fontId="18" fillId="2" borderId="1" xfId="1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165" fontId="18" fillId="3" borderId="2" xfId="1" applyNumberFormat="1" applyFont="1" applyFill="1" applyBorder="1" applyAlignment="1">
      <alignment vertical="center"/>
    </xf>
    <xf numFmtId="165" fontId="18" fillId="3" borderId="2" xfId="1" applyNumberFormat="1" applyFont="1" applyFill="1" applyBorder="1" applyAlignment="1">
      <alignment horizontal="center" vertical="center" wrapText="1"/>
    </xf>
    <xf numFmtId="10" fontId="18" fillId="3" borderId="2" xfId="2" applyNumberFormat="1" applyFont="1" applyFill="1" applyBorder="1" applyAlignment="1">
      <alignment horizontal="center" vertical="center"/>
    </xf>
    <xf numFmtId="165" fontId="18" fillId="0" borderId="18" xfId="1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165" fontId="22" fillId="0" borderId="12" xfId="1" applyNumberFormat="1" applyFont="1" applyBorder="1" applyAlignment="1">
      <alignment horizontal="center" vertical="center"/>
    </xf>
    <xf numFmtId="0" fontId="22" fillId="0" borderId="10" xfId="0" quotePrefix="1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13" xfId="0" quotePrefix="1" applyFont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165" fontId="18" fillId="0" borderId="14" xfId="1" applyNumberFormat="1" applyFont="1" applyBorder="1" applyAlignment="1">
      <alignment vertical="center"/>
    </xf>
    <xf numFmtId="165" fontId="18" fillId="0" borderId="14" xfId="1" applyNumberFormat="1" applyFont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165" fontId="18" fillId="11" borderId="2" xfId="1" applyNumberFormat="1" applyFont="1" applyFill="1" applyBorder="1" applyAlignment="1">
      <alignment vertical="center"/>
    </xf>
    <xf numFmtId="10" fontId="18" fillId="11" borderId="2" xfId="2" applyNumberFormat="1" applyFont="1" applyFill="1" applyBorder="1" applyAlignment="1">
      <alignment horizontal="center" vertical="center"/>
    </xf>
    <xf numFmtId="165" fontId="18" fillId="11" borderId="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22" fillId="0" borderId="0" xfId="1" applyNumberFormat="1" applyFont="1" applyAlignment="1">
      <alignment vertical="center"/>
    </xf>
    <xf numFmtId="165" fontId="22" fillId="0" borderId="0" xfId="1" applyNumberFormat="1" applyFont="1" applyAlignment="1">
      <alignment horizontal="center" vertical="center"/>
    </xf>
    <xf numFmtId="0" fontId="23" fillId="13" borderId="0" xfId="0" applyFont="1" applyFill="1"/>
    <xf numFmtId="0" fontId="23" fillId="13" borderId="0" xfId="0" applyFont="1" applyFill="1" applyAlignment="1">
      <alignment vertical="center"/>
    </xf>
    <xf numFmtId="165" fontId="18" fillId="2" borderId="1" xfId="1" quotePrefix="1" applyNumberFormat="1" applyFont="1" applyFill="1" applyBorder="1" applyAlignment="1">
      <alignment horizontal="center" vertical="center" wrapText="1"/>
    </xf>
    <xf numFmtId="0" fontId="0" fillId="0" borderId="17" xfId="0" quotePrefix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 wrapText="1"/>
    </xf>
    <xf numFmtId="14" fontId="0" fillId="0" borderId="24" xfId="0" applyNumberFormat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0" fillId="0" borderId="17" xfId="0" applyBorder="1" applyAlignment="1">
      <alignment vertical="center" wrapText="1"/>
    </xf>
    <xf numFmtId="41" fontId="0" fillId="0" borderId="17" xfId="0" applyNumberForma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166" fontId="0" fillId="0" borderId="21" xfId="0" applyNumberFormat="1" applyBorder="1" applyAlignment="1">
      <alignment horizontal="left" vertical="center" wrapText="1"/>
    </xf>
    <xf numFmtId="166" fontId="0" fillId="0" borderId="11" xfId="0" applyNumberFormat="1" applyBorder="1" applyAlignment="1">
      <alignment horizontal="left" vertical="center" wrapText="1"/>
    </xf>
    <xf numFmtId="0" fontId="15" fillId="12" borderId="27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165" fontId="0" fillId="0" borderId="0" xfId="1" applyNumberFormat="1" applyFont="1" applyAlignment="1">
      <alignment horizontal="left"/>
    </xf>
    <xf numFmtId="165" fontId="15" fillId="12" borderId="0" xfId="0" applyNumberFormat="1" applyFont="1" applyFill="1" applyAlignment="1">
      <alignment horizontal="left"/>
    </xf>
    <xf numFmtId="165" fontId="18" fillId="0" borderId="12" xfId="1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/>
    </xf>
    <xf numFmtId="166" fontId="0" fillId="0" borderId="11" xfId="0" applyNumberForma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 vertical="center" wrapText="1"/>
    </xf>
    <xf numFmtId="166" fontId="15" fillId="12" borderId="27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/>
    </xf>
    <xf numFmtId="166" fontId="15" fillId="12" borderId="1" xfId="0" applyNumberFormat="1" applyFont="1" applyFill="1" applyBorder="1" applyAlignment="1">
      <alignment horizontal="center"/>
    </xf>
    <xf numFmtId="0" fontId="0" fillId="0" borderId="14" xfId="0" applyBorder="1"/>
    <xf numFmtId="0" fontId="0" fillId="12" borderId="0" xfId="0" applyFill="1"/>
    <xf numFmtId="165" fontId="0" fillId="0" borderId="0" xfId="1" applyNumberFormat="1" applyFont="1"/>
    <xf numFmtId="165" fontId="15" fillId="12" borderId="0" xfId="0" applyNumberFormat="1" applyFont="1" applyFill="1"/>
    <xf numFmtId="41" fontId="0" fillId="0" borderId="14" xfId="0" applyNumberFormat="1" applyBorder="1"/>
    <xf numFmtId="0" fontId="19" fillId="0" borderId="2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0" borderId="8" xfId="0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14" xfId="0" applyBorder="1" applyAlignment="1">
      <alignment horizontal="left" indent="1"/>
    </xf>
    <xf numFmtId="0" fontId="0" fillId="0" borderId="3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41" fontId="0" fillId="0" borderId="34" xfId="0" applyNumberFormat="1" applyBorder="1" applyAlignment="1">
      <alignment horizontal="center" vertical="center" wrapText="1"/>
    </xf>
    <xf numFmtId="41" fontId="0" fillId="0" borderId="25" xfId="0" applyNumberFormat="1" applyBorder="1" applyAlignment="1">
      <alignment horizontal="center" vertical="center" wrapText="1"/>
    </xf>
    <xf numFmtId="0" fontId="15" fillId="12" borderId="0" xfId="0" applyFont="1" applyFill="1" applyAlignment="1">
      <alignment horizontal="left"/>
    </xf>
    <xf numFmtId="0" fontId="29" fillId="13" borderId="0" xfId="0" applyFont="1" applyFill="1" applyAlignment="1">
      <alignment vertical="center" wrapText="1"/>
    </xf>
    <xf numFmtId="41" fontId="29" fillId="13" borderId="0" xfId="0" applyNumberFormat="1" applyFont="1" applyFill="1" applyAlignment="1">
      <alignment vertical="center" wrapText="1"/>
    </xf>
    <xf numFmtId="0" fontId="33" fillId="13" borderId="0" xfId="0" applyFont="1" applyFill="1" applyAlignment="1">
      <alignment vertical="center"/>
    </xf>
    <xf numFmtId="0" fontId="24" fillId="13" borderId="0" xfId="0" applyFont="1" applyFill="1"/>
    <xf numFmtId="0" fontId="33" fillId="13" borderId="0" xfId="0" applyFont="1" applyFill="1"/>
    <xf numFmtId="0" fontId="26" fillId="13" borderId="0" xfId="0" applyFont="1" applyFill="1"/>
    <xf numFmtId="0" fontId="34" fillId="13" borderId="0" xfId="0" applyFont="1" applyFill="1" applyAlignment="1">
      <alignment vertical="center" wrapText="1"/>
    </xf>
    <xf numFmtId="0" fontId="32" fillId="13" borderId="0" xfId="0" applyFont="1" applyFill="1" applyAlignment="1">
      <alignment horizontal="center"/>
    </xf>
    <xf numFmtId="0" fontId="15" fillId="13" borderId="0" xfId="0" applyFont="1" applyFill="1" applyAlignment="1">
      <alignment vertical="center"/>
    </xf>
    <xf numFmtId="0" fontId="26" fillId="13" borderId="0" xfId="0" applyFont="1" applyFill="1" applyAlignment="1">
      <alignment horizontal="right"/>
    </xf>
    <xf numFmtId="0" fontId="26" fillId="13" borderId="0" xfId="0" applyFont="1" applyFill="1" applyAlignment="1">
      <alignment horizontal="left"/>
    </xf>
    <xf numFmtId="165" fontId="28" fillId="13" borderId="0" xfId="1" applyNumberFormat="1" applyFont="1" applyFill="1"/>
    <xf numFmtId="165" fontId="15" fillId="13" borderId="0" xfId="1" applyNumberFormat="1" applyFont="1" applyFill="1" applyAlignment="1">
      <alignment vertical="center"/>
    </xf>
    <xf numFmtId="0" fontId="37" fillId="13" borderId="0" xfId="0" applyFont="1" applyFill="1" applyAlignment="1">
      <alignment vertical="center"/>
    </xf>
    <xf numFmtId="0" fontId="31" fillId="13" borderId="0" xfId="0" applyFont="1" applyFill="1" applyAlignment="1">
      <alignment vertical="center"/>
    </xf>
    <xf numFmtId="0" fontId="23" fillId="10" borderId="36" xfId="0" applyFont="1" applyFill="1" applyBorder="1"/>
    <xf numFmtId="0" fontId="23" fillId="10" borderId="37" xfId="0" applyFont="1" applyFill="1" applyBorder="1"/>
    <xf numFmtId="0" fontId="23" fillId="10" borderId="38" xfId="0" applyFont="1" applyFill="1" applyBorder="1"/>
    <xf numFmtId="0" fontId="23" fillId="10" borderId="39" xfId="0" applyFont="1" applyFill="1" applyBorder="1"/>
    <xf numFmtId="0" fontId="23" fillId="10" borderId="0" xfId="0" applyFont="1" applyFill="1"/>
    <xf numFmtId="0" fontId="24" fillId="10" borderId="0" xfId="0" applyFont="1" applyFill="1"/>
    <xf numFmtId="0" fontId="24" fillId="10" borderId="40" xfId="0" applyFont="1" applyFill="1" applyBorder="1"/>
    <xf numFmtId="0" fontId="36" fillId="10" borderId="40" xfId="0" applyFont="1" applyFill="1" applyBorder="1" applyAlignment="1">
      <alignment vertical="center"/>
    </xf>
    <xf numFmtId="0" fontId="33" fillId="10" borderId="39" xfId="0" applyFont="1" applyFill="1" applyBorder="1"/>
    <xf numFmtId="0" fontId="33" fillId="10" borderId="0" xfId="0" applyFont="1" applyFill="1"/>
    <xf numFmtId="0" fontId="34" fillId="10" borderId="0" xfId="0" applyFont="1" applyFill="1" applyAlignment="1">
      <alignment vertical="center"/>
    </xf>
    <xf numFmtId="10" fontId="34" fillId="10" borderId="0" xfId="0" applyNumberFormat="1" applyFont="1" applyFill="1" applyAlignment="1">
      <alignment horizontal="center" vertical="center" wrapText="1"/>
    </xf>
    <xf numFmtId="0" fontId="34" fillId="10" borderId="40" xfId="0" applyFont="1" applyFill="1" applyBorder="1" applyAlignment="1">
      <alignment vertical="center" wrapText="1"/>
    </xf>
    <xf numFmtId="0" fontId="32" fillId="10" borderId="39" xfId="0" applyFont="1" applyFill="1" applyBorder="1" applyAlignment="1">
      <alignment horizontal="center"/>
    </xf>
    <xf numFmtId="41" fontId="29" fillId="10" borderId="40" xfId="0" applyNumberFormat="1" applyFont="1" applyFill="1" applyBorder="1" applyAlignment="1">
      <alignment vertical="center" wrapText="1"/>
    </xf>
    <xf numFmtId="41" fontId="25" fillId="10" borderId="0" xfId="0" applyNumberFormat="1" applyFont="1" applyFill="1" applyAlignment="1">
      <alignment vertical="center" wrapText="1"/>
    </xf>
    <xf numFmtId="41" fontId="25" fillId="10" borderId="40" xfId="0" applyNumberFormat="1" applyFont="1" applyFill="1" applyBorder="1" applyAlignment="1">
      <alignment vertical="center" wrapText="1"/>
    </xf>
    <xf numFmtId="0" fontId="23" fillId="10" borderId="40" xfId="0" applyFont="1" applyFill="1" applyBorder="1"/>
    <xf numFmtId="0" fontId="23" fillId="10" borderId="39" xfId="0" applyFont="1" applyFill="1" applyBorder="1" applyAlignment="1">
      <alignment vertical="center"/>
    </xf>
    <xf numFmtId="0" fontId="23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23" fillId="10" borderId="40" xfId="0" applyFont="1" applyFill="1" applyBorder="1" applyAlignment="1">
      <alignment vertical="center"/>
    </xf>
    <xf numFmtId="165" fontId="27" fillId="10" borderId="0" xfId="1" applyNumberFormat="1" applyFont="1" applyFill="1"/>
    <xf numFmtId="165" fontId="15" fillId="10" borderId="0" xfId="1" applyNumberFormat="1" applyFont="1" applyFill="1" applyAlignment="1">
      <alignment vertical="center"/>
    </xf>
    <xf numFmtId="0" fontId="37" fillId="10" borderId="39" xfId="0" applyFont="1" applyFill="1" applyBorder="1" applyAlignment="1">
      <alignment vertical="center"/>
    </xf>
    <xf numFmtId="0" fontId="31" fillId="10" borderId="0" xfId="0" applyFont="1" applyFill="1" applyAlignment="1">
      <alignment horizontal="left" vertical="center"/>
    </xf>
    <xf numFmtId="0" fontId="37" fillId="10" borderId="0" xfId="0" applyFont="1" applyFill="1" applyAlignment="1">
      <alignment vertical="center"/>
    </xf>
    <xf numFmtId="165" fontId="31" fillId="10" borderId="0" xfId="1" applyNumberFormat="1" applyFont="1" applyFill="1" applyAlignment="1">
      <alignment vertical="center"/>
    </xf>
    <xf numFmtId="0" fontId="31" fillId="10" borderId="0" xfId="0" applyFont="1" applyFill="1" applyAlignment="1">
      <alignment vertical="center"/>
    </xf>
    <xf numFmtId="0" fontId="37" fillId="10" borderId="40" xfId="0" applyFont="1" applyFill="1" applyBorder="1" applyAlignment="1">
      <alignment vertical="center"/>
    </xf>
    <xf numFmtId="0" fontId="23" fillId="10" borderId="41" xfId="0" applyFont="1" applyFill="1" applyBorder="1"/>
    <xf numFmtId="0" fontId="23" fillId="10" borderId="42" xfId="0" applyFont="1" applyFill="1" applyBorder="1"/>
    <xf numFmtId="0" fontId="23" fillId="10" borderId="43" xfId="0" applyFont="1" applyFill="1" applyBorder="1"/>
    <xf numFmtId="165" fontId="22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5" fillId="10" borderId="39" xfId="0" applyFont="1" applyFill="1" applyBorder="1" applyAlignment="1">
      <alignment vertical="center"/>
    </xf>
    <xf numFmtId="0" fontId="15" fillId="10" borderId="40" xfId="0" applyFont="1" applyFill="1" applyBorder="1" applyAlignment="1">
      <alignment vertical="center"/>
    </xf>
    <xf numFmtId="0" fontId="33" fillId="10" borderId="39" xfId="0" applyFont="1" applyFill="1" applyBorder="1" applyAlignment="1">
      <alignment vertical="center"/>
    </xf>
    <xf numFmtId="165" fontId="31" fillId="10" borderId="0" xfId="1" applyNumberFormat="1" applyFont="1" applyFill="1" applyAlignment="1">
      <alignment horizontal="center" vertical="center"/>
    </xf>
    <xf numFmtId="43" fontId="1" fillId="10" borderId="0" xfId="1" applyFill="1" applyAlignment="1">
      <alignment horizontal="center"/>
    </xf>
    <xf numFmtId="0" fontId="31" fillId="10" borderId="42" xfId="0" applyFont="1" applyFill="1" applyBorder="1"/>
    <xf numFmtId="43" fontId="1" fillId="10" borderId="0" xfId="1" applyFill="1"/>
    <xf numFmtId="0" fontId="22" fillId="0" borderId="0" xfId="0" applyFont="1"/>
    <xf numFmtId="0" fontId="22" fillId="0" borderId="0" xfId="0" quotePrefix="1" applyFont="1"/>
    <xf numFmtId="9" fontId="1" fillId="0" borderId="0" xfId="2" applyAlignment="1">
      <alignment horizontal="center"/>
    </xf>
    <xf numFmtId="9" fontId="22" fillId="0" borderId="0" xfId="2" applyFont="1" applyAlignment="1">
      <alignment horizontal="center"/>
    </xf>
    <xf numFmtId="9" fontId="18" fillId="0" borderId="0" xfId="2" applyFont="1" applyAlignment="1">
      <alignment horizontal="center"/>
    </xf>
    <xf numFmtId="0" fontId="18" fillId="0" borderId="0" xfId="0" applyFont="1" applyAlignment="1">
      <alignment vertical="center"/>
    </xf>
    <xf numFmtId="165" fontId="22" fillId="0" borderId="17" xfId="1" applyNumberFormat="1" applyFont="1" applyBorder="1" applyAlignment="1">
      <alignment vertical="center"/>
    </xf>
    <xf numFmtId="165" fontId="18" fillId="0" borderId="17" xfId="1" applyNumberFormat="1" applyFont="1" applyBorder="1" applyAlignment="1">
      <alignment horizontal="center" vertical="center"/>
    </xf>
    <xf numFmtId="165" fontId="22" fillId="0" borderId="17" xfId="1" applyNumberFormat="1" applyFont="1" applyBorder="1" applyAlignment="1">
      <alignment horizontal="center" vertical="center"/>
    </xf>
    <xf numFmtId="165" fontId="22" fillId="0" borderId="11" xfId="1" applyNumberFormat="1" applyFont="1" applyBorder="1" applyAlignment="1">
      <alignment vertical="center"/>
    </xf>
    <xf numFmtId="165" fontId="22" fillId="0" borderId="11" xfId="1" applyNumberFormat="1" applyFont="1" applyBorder="1" applyAlignment="1">
      <alignment horizontal="center" vertical="center"/>
    </xf>
    <xf numFmtId="10" fontId="22" fillId="0" borderId="11" xfId="2" applyNumberFormat="1" applyFont="1" applyBorder="1" applyAlignment="1">
      <alignment horizontal="center" vertical="center"/>
    </xf>
    <xf numFmtId="165" fontId="18" fillId="0" borderId="11" xfId="1" applyNumberFormat="1" applyFont="1" applyBorder="1" applyAlignment="1">
      <alignment vertical="center"/>
    </xf>
    <xf numFmtId="165" fontId="18" fillId="0" borderId="11" xfId="1" applyNumberFormat="1" applyFont="1" applyBorder="1" applyAlignment="1">
      <alignment horizontal="center" vertical="center"/>
    </xf>
    <xf numFmtId="10" fontId="18" fillId="0" borderId="0" xfId="2" applyNumberFormat="1" applyFont="1" applyAlignment="1">
      <alignment horizontal="center" vertical="center"/>
    </xf>
    <xf numFmtId="43" fontId="15" fillId="10" borderId="0" xfId="0" applyNumberFormat="1" applyFont="1" applyFill="1" applyAlignment="1">
      <alignment vertical="center"/>
    </xf>
    <xf numFmtId="0" fontId="15" fillId="14" borderId="0" xfId="0" applyFont="1" applyFill="1" applyAlignment="1">
      <alignment vertical="center"/>
    </xf>
    <xf numFmtId="0" fontId="15" fillId="14" borderId="0" xfId="0" applyFont="1" applyFill="1" applyAlignment="1">
      <alignment horizontal="center" vertical="center"/>
    </xf>
    <xf numFmtId="0" fontId="39" fillId="10" borderId="0" xfId="0" applyFont="1" applyFill="1" applyAlignment="1">
      <alignment vertical="center"/>
    </xf>
    <xf numFmtId="165" fontId="0" fillId="0" borderId="0" xfId="0" applyNumberFormat="1" applyAlignment="1">
      <alignment horizontal="left"/>
    </xf>
    <xf numFmtId="0" fontId="39" fillId="10" borderId="0" xfId="0" applyFont="1" applyFill="1" applyAlignment="1">
      <alignment horizontal="left"/>
    </xf>
    <xf numFmtId="0" fontId="39" fillId="10" borderId="0" xfId="0" applyFont="1" applyFill="1"/>
    <xf numFmtId="41" fontId="35" fillId="10" borderId="40" xfId="0" applyNumberFormat="1" applyFont="1" applyFill="1" applyBorder="1" applyAlignment="1">
      <alignment horizontal="center" wrapText="1"/>
    </xf>
    <xf numFmtId="41" fontId="35" fillId="13" borderId="0" xfId="0" applyNumberFormat="1" applyFont="1" applyFill="1" applyAlignment="1">
      <alignment horizontal="center" wrapText="1"/>
    </xf>
    <xf numFmtId="0" fontId="35" fillId="13" borderId="0" xfId="0" applyFont="1" applyFill="1" applyAlignment="1">
      <alignment horizontal="center" wrapText="1"/>
    </xf>
    <xf numFmtId="0" fontId="40" fillId="0" borderId="0" xfId="0" applyFont="1" applyAlignment="1">
      <alignment vertical="center"/>
    </xf>
    <xf numFmtId="165" fontId="22" fillId="0" borderId="0" xfId="1" applyNumberFormat="1" applyFont="1"/>
    <xf numFmtId="165" fontId="18" fillId="2" borderId="1" xfId="1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18" fillId="2" borderId="1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0" fillId="0" borderId="29" xfId="0" applyBorder="1"/>
    <xf numFmtId="165" fontId="18" fillId="2" borderId="1" xfId="1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165" fontId="31" fillId="10" borderId="0" xfId="1" applyNumberFormat="1" applyFont="1" applyFill="1"/>
    <xf numFmtId="165" fontId="31" fillId="10" borderId="0" xfId="1" applyNumberFormat="1" applyFont="1" applyFill="1" applyAlignment="1">
      <alignment horizontal="center" vertical="center"/>
    </xf>
    <xf numFmtId="165" fontId="15" fillId="14" borderId="0" xfId="0" applyNumberFormat="1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165" fontId="15" fillId="14" borderId="0" xfId="1" applyNumberFormat="1" applyFont="1" applyFill="1" applyAlignment="1">
      <alignment horizontal="center" vertical="center"/>
    </xf>
    <xf numFmtId="0" fontId="31" fillId="10" borderId="0" xfId="0" applyFont="1" applyFill="1" applyAlignment="1">
      <alignment horizontal="left" vertical="center"/>
    </xf>
    <xf numFmtId="37" fontId="15" fillId="14" borderId="0" xfId="1" applyNumberFormat="1" applyFont="1" applyFill="1" applyAlignment="1">
      <alignment horizontal="center" vertical="center"/>
    </xf>
    <xf numFmtId="43" fontId="31" fillId="10" borderId="0" xfId="1" applyFont="1" applyFill="1"/>
    <xf numFmtId="43" fontId="1" fillId="10" borderId="0" xfId="1" applyFill="1"/>
    <xf numFmtId="0" fontId="34" fillId="13" borderId="0" xfId="0" applyFont="1" applyFill="1" applyAlignment="1">
      <alignment horizontal="center" vertical="center" wrapText="1"/>
    </xf>
    <xf numFmtId="41" fontId="34" fillId="10" borderId="0" xfId="0" applyNumberFormat="1" applyFont="1" applyFill="1" applyAlignment="1">
      <alignment horizontal="center" vertical="center" wrapText="1"/>
    </xf>
    <xf numFmtId="0" fontId="15" fillId="10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right" vertical="center"/>
    </xf>
    <xf numFmtId="0" fontId="38" fillId="10" borderId="0" xfId="0" applyFont="1" applyFill="1" applyAlignment="1">
      <alignment horizontal="left" vertical="top" indent="2"/>
    </xf>
    <xf numFmtId="0" fontId="41" fillId="10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right" vertical="center"/>
    </xf>
    <xf numFmtId="0" fontId="19" fillId="0" borderId="20" xfId="0" applyFont="1" applyBorder="1" applyAlignment="1">
      <alignment horizontal="left"/>
    </xf>
    <xf numFmtId="0" fontId="0" fillId="0" borderId="20" xfId="0" applyBorder="1"/>
    <xf numFmtId="3" fontId="5" fillId="0" borderId="0" xfId="0" applyNumberFormat="1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right" vertical="center" wrapText="1"/>
    </xf>
    <xf numFmtId="0" fontId="6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0" fillId="0" borderId="5" xfId="0" applyBorder="1"/>
    <xf numFmtId="0" fontId="7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right" vertical="center" wrapText="1"/>
    </xf>
    <xf numFmtId="3" fontId="7" fillId="5" borderId="0" xfId="0" applyNumberFormat="1" applyFont="1" applyFill="1" applyAlignment="1">
      <alignment horizontal="right" vertic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165" fontId="18" fillId="0" borderId="0" xfId="1" applyNumberFormat="1" applyFont="1"/>
    <xf numFmtId="165" fontId="18" fillId="0" borderId="0" xfId="2" applyNumberFormat="1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Style 1" xfId="3" xr:uid="{00000000-0005-0000-0000-000003000000}"/>
  </cellStyles>
  <dxfs count="19">
    <dxf>
      <fill>
        <patternFill>
          <bgColor theme="9" tint="0.59996337778862885"/>
        </patternFill>
      </fill>
    </dxf>
    <dxf>
      <fill>
        <patternFill>
          <bgColor rgb="FFFF66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33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FF6699"/>
      <color rgb="FFFFFF99"/>
      <color rgb="FFFF3399"/>
      <color rgb="FFDAED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CAPAIAN REALISASI  (%)</a:t>
            </a:r>
          </a:p>
        </c:rich>
      </c:tx>
      <c:layout>
        <c:manualLayout>
          <c:xMode val="edge"/>
          <c:yMode val="edge"/>
          <c:x val="1.6277940826877405E-2"/>
          <c:y val="3.768308830399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768598315617"/>
          <c:y val="0.1281307356445012"/>
          <c:w val="0.76736358863204945"/>
          <c:h val="0.825028516861663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RAW_SP2D!$R$11</c:f>
              <c:strCache>
                <c:ptCount val="1"/>
                <c:pt idx="0">
                  <c:v>Persentase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RAW_SP2D!$N$12:$N$19</c:f>
              <c:strCache>
                <c:ptCount val="8"/>
                <c:pt idx="0">
                  <c:v>Rentan</c:v>
                </c:pt>
                <c:pt idx="1">
                  <c:v>Disabilitas</c:v>
                </c:pt>
                <c:pt idx="2">
                  <c:v>Anak</c:v>
                </c:pt>
                <c:pt idx="3">
                  <c:v>Lansia</c:v>
                </c:pt>
                <c:pt idx="4">
                  <c:v>KPN</c:v>
                </c:pt>
                <c:pt idx="5">
                  <c:v>ODHIV</c:v>
                </c:pt>
                <c:pt idx="6">
                  <c:v>6301 </c:v>
                </c:pt>
                <c:pt idx="7">
                  <c:v>Belanja Pegawai</c:v>
                </c:pt>
              </c:strCache>
            </c:strRef>
          </c:cat>
          <c:val>
            <c:numRef>
              <c:f>RAW_SP2D!$R$12:$R$19</c:f>
              <c:numCache>
                <c:formatCode>0%</c:formatCode>
                <c:ptCount val="8"/>
                <c:pt idx="0">
                  <c:v>0.23541573209026545</c:v>
                </c:pt>
                <c:pt idx="1">
                  <c:v>0.41226074613611458</c:v>
                </c:pt>
                <c:pt idx="2">
                  <c:v>0.63332100119919377</c:v>
                </c:pt>
                <c:pt idx="3">
                  <c:v>0.12853797597230707</c:v>
                </c:pt>
                <c:pt idx="4">
                  <c:v>0.25955785632452155</c:v>
                </c:pt>
                <c:pt idx="5">
                  <c:v>0.25955785632452155</c:v>
                </c:pt>
                <c:pt idx="6">
                  <c:v>0.35574670368837952</c:v>
                </c:pt>
                <c:pt idx="7">
                  <c:v>0.84632501999999998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1-42AD-8241-E318EB851D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7179104"/>
        <c:axId val="1197194464"/>
      </c:barChart>
      <c:catAx>
        <c:axId val="11971791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94464"/>
        <c:crosses val="autoZero"/>
        <c:auto val="1"/>
        <c:lblAlgn val="ctr"/>
        <c:lblOffset val="100"/>
        <c:noMultiLvlLbl val="0"/>
      </c:catAx>
      <c:valAx>
        <c:axId val="11971944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717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+mn-lt"/>
              </a:rPr>
              <a:t>KEKURANGAN  REALISASI</a:t>
            </a:r>
          </a:p>
        </c:rich>
      </c:tx>
      <c:layout>
        <c:manualLayout>
          <c:xMode val="edge"/>
          <c:yMode val="edge"/>
          <c:x val="0.65524593240474793"/>
          <c:y val="3.8137054508451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571055686793735E-2"/>
          <c:y val="0.13642180344025651"/>
          <c:w val="0.91093647491476726"/>
          <c:h val="0.830682183699139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RAW_SP2D!$Q$11</c:f>
              <c:strCache>
                <c:ptCount val="1"/>
                <c:pt idx="0">
                  <c:v>Selisih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RAW_SP2D!$N$12:$N$19</c:f>
              <c:strCache>
                <c:ptCount val="8"/>
                <c:pt idx="0">
                  <c:v>Rentan</c:v>
                </c:pt>
                <c:pt idx="1">
                  <c:v>Disabilitas</c:v>
                </c:pt>
                <c:pt idx="2">
                  <c:v>Anak</c:v>
                </c:pt>
                <c:pt idx="3">
                  <c:v>Lansia</c:v>
                </c:pt>
                <c:pt idx="4">
                  <c:v>KPN</c:v>
                </c:pt>
                <c:pt idx="5">
                  <c:v>ODHIV</c:v>
                </c:pt>
                <c:pt idx="6">
                  <c:v>6301 </c:v>
                </c:pt>
                <c:pt idx="7">
                  <c:v>Belanja Pegawai</c:v>
                </c:pt>
              </c:strCache>
            </c:strRef>
          </c:cat>
          <c:val>
            <c:numRef>
              <c:f>RAW_SP2D!$Q$12:$Q$19</c:f>
              <c:numCache>
                <c:formatCode>_(* #,##0_);_(* \(#,##0\);_(* "-"??_);_(@_)</c:formatCode>
                <c:ptCount val="8"/>
                <c:pt idx="0">
                  <c:v>-117603000</c:v>
                </c:pt>
                <c:pt idx="1">
                  <c:v>-124426751</c:v>
                </c:pt>
                <c:pt idx="2">
                  <c:v>-57485000</c:v>
                </c:pt>
                <c:pt idx="3">
                  <c:v>-273904000</c:v>
                </c:pt>
                <c:pt idx="4">
                  <c:v>-104700000</c:v>
                </c:pt>
                <c:pt idx="5">
                  <c:v>-104700000</c:v>
                </c:pt>
                <c:pt idx="6">
                  <c:v>-129239144</c:v>
                </c:pt>
                <c:pt idx="7">
                  <c:v>-199777474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7-43A3-921C-0EA53A8050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6903776"/>
        <c:axId val="1306910976"/>
      </c:barChart>
      <c:catAx>
        <c:axId val="130690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10976"/>
        <c:crosses val="autoZero"/>
        <c:auto val="1"/>
        <c:lblAlgn val="ctr"/>
        <c:lblOffset val="100"/>
        <c:noMultiLvlLbl val="0"/>
      </c:catAx>
      <c:valAx>
        <c:axId val="130691097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3069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187624181648699"/>
          <c:y val="8.2941350354952259E-2"/>
          <c:w val="0.25940006330590692"/>
          <c:h val="0.784094913542337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92-4EDB-8B85-E9A36AE0ACF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92-4EDB-8B85-E9A36AE0ACF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92-4EDB-8B85-E9A36AE0AC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RAW_SP2D!$N$5:$N$7</c:f>
              <c:strCache>
                <c:ptCount val="3"/>
                <c:pt idx="0">
                  <c:v>Belanja Bansos (57)</c:v>
                </c:pt>
                <c:pt idx="1">
                  <c:v>Belanja Barang Jasa (52)</c:v>
                </c:pt>
                <c:pt idx="2">
                  <c:v>Belanja Pegawai (51)</c:v>
                </c:pt>
              </c:strCache>
            </c:strRef>
          </c:cat>
          <c:val>
            <c:numRef>
              <c:f>RAW_SP2D!$P$5:$P$7</c:f>
              <c:numCache>
                <c:formatCode>_(* #,##0_);_(* \(#,##0\);_(* "-"??_);_(@_)</c:formatCode>
                <c:ptCount val="3"/>
                <c:pt idx="0">
                  <c:v>175715000</c:v>
                </c:pt>
                <c:pt idx="1">
                  <c:v>232227105</c:v>
                </c:pt>
                <c:pt idx="2">
                  <c:v>1100222526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92-4EDB-8B85-E9A36AE0ACF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559562320337626E-2"/>
          <c:y val="0.89777394907407171"/>
          <c:w val="0.88488070761712301"/>
          <c:h val="9.5786662556274924E-2"/>
        </c:manualLayout>
      </c:layout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28575</xdr:rowOff>
    </xdr:from>
    <xdr:to>
      <xdr:col>5</xdr:col>
      <xdr:colOff>0</xdr:colOff>
      <xdr:row>6</xdr:row>
      <xdr:rowOff>400050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D9A030B-32D9-4850-B236-36995BEBCDD5}"/>
            </a:ext>
          </a:extLst>
        </xdr:cNvPr>
        <xdr:cNvSpPr/>
      </xdr:nvSpPr>
      <xdr:spPr>
        <a:xfrm>
          <a:off x="361950" y="866775"/>
          <a:ext cx="2190750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5</xdr:row>
      <xdr:rowOff>28575</xdr:rowOff>
    </xdr:from>
    <xdr:to>
      <xdr:col>9</xdr:col>
      <xdr:colOff>9525</xdr:colOff>
      <xdr:row>6</xdr:row>
      <xdr:rowOff>400050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6CA8A90-5927-467A-93A7-C728658CE955}"/>
            </a:ext>
          </a:extLst>
        </xdr:cNvPr>
        <xdr:cNvSpPr/>
      </xdr:nvSpPr>
      <xdr:spPr>
        <a:xfrm>
          <a:off x="2619375" y="866775"/>
          <a:ext cx="2914650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5</xdr:row>
      <xdr:rowOff>28575</xdr:rowOff>
    </xdr:from>
    <xdr:to>
      <xdr:col>12</xdr:col>
      <xdr:colOff>76200</xdr:colOff>
      <xdr:row>6</xdr:row>
      <xdr:rowOff>400050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E291345-D466-46F5-A059-E85D36B56295}"/>
            </a:ext>
          </a:extLst>
        </xdr:cNvPr>
        <xdr:cNvSpPr/>
      </xdr:nvSpPr>
      <xdr:spPr>
        <a:xfrm>
          <a:off x="5600700" y="866775"/>
          <a:ext cx="2228850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152400</xdr:colOff>
      <xdr:row>5</xdr:row>
      <xdr:rowOff>28575</xdr:rowOff>
    </xdr:from>
    <xdr:to>
      <xdr:col>14</xdr:col>
      <xdr:colOff>180975</xdr:colOff>
      <xdr:row>6</xdr:row>
      <xdr:rowOff>400050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C2E576A-32FA-41A1-8B26-B8CC979E6D0A}"/>
            </a:ext>
          </a:extLst>
        </xdr:cNvPr>
        <xdr:cNvSpPr/>
      </xdr:nvSpPr>
      <xdr:spPr>
        <a:xfrm>
          <a:off x="7905750" y="866775"/>
          <a:ext cx="1514475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238124</xdr:colOff>
      <xdr:row>5</xdr:row>
      <xdr:rowOff>19050</xdr:rowOff>
    </xdr:from>
    <xdr:to>
      <xdr:col>18</xdr:col>
      <xdr:colOff>76199</xdr:colOff>
      <xdr:row>6</xdr:row>
      <xdr:rowOff>390525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AFC610A-03CE-47FC-971F-378CEC7C5503}"/>
            </a:ext>
          </a:extLst>
        </xdr:cNvPr>
        <xdr:cNvSpPr/>
      </xdr:nvSpPr>
      <xdr:spPr>
        <a:xfrm>
          <a:off x="9477374" y="857250"/>
          <a:ext cx="2809875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</xdr:colOff>
      <xdr:row>1</xdr:row>
      <xdr:rowOff>95250</xdr:rowOff>
    </xdr:from>
    <xdr:to>
      <xdr:col>18</xdr:col>
      <xdr:colOff>56029</xdr:colOff>
      <xdr:row>4</xdr:row>
      <xdr:rowOff>104775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65263A6-9AD3-4C51-93F8-4F5FF9B7D4BA}"/>
            </a:ext>
          </a:extLst>
        </xdr:cNvPr>
        <xdr:cNvSpPr/>
      </xdr:nvSpPr>
      <xdr:spPr>
        <a:xfrm>
          <a:off x="344021" y="151279"/>
          <a:ext cx="12094508" cy="603437"/>
        </a:xfrm>
        <a:prstGeom prst="roundRect">
          <a:avLst/>
        </a:prstGeom>
        <a:solidFill>
          <a:schemeClr val="tx1">
            <a:lumMod val="85000"/>
            <a:lumOff val="15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22411</xdr:colOff>
      <xdr:row>8</xdr:row>
      <xdr:rowOff>54905</xdr:rowOff>
    </xdr:from>
    <xdr:to>
      <xdr:col>9</xdr:col>
      <xdr:colOff>728383</xdr:colOff>
      <xdr:row>26</xdr:row>
      <xdr:rowOff>145677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5A97035-D6AD-414C-BB7C-C6373CAE5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235324</xdr:colOff>
      <xdr:row>8</xdr:row>
      <xdr:rowOff>54914</xdr:rowOff>
    </xdr:from>
    <xdr:to>
      <xdr:col>18</xdr:col>
      <xdr:colOff>78441</xdr:colOff>
      <xdr:row>26</xdr:row>
      <xdr:rowOff>133326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CFCA4E-7B0C-4F3A-BE62-0C037420C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246530</xdr:colOff>
      <xdr:row>27</xdr:row>
      <xdr:rowOff>89645</xdr:rowOff>
    </xdr:from>
    <xdr:to>
      <xdr:col>18</xdr:col>
      <xdr:colOff>67235</xdr:colOff>
      <xdr:row>38</xdr:row>
      <xdr:rowOff>156882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0FEECC5-052F-4841-9DB4-09138124F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739586</xdr:colOff>
      <xdr:row>32</xdr:row>
      <xdr:rowOff>44824</xdr:rowOff>
    </xdr:from>
    <xdr:ext cx="600485" cy="280205"/>
    <xdr:sp macro="" textlink="RAW_SP2D!N2">
      <xdr:nvSpPr>
        <xdr:cNvPr id="14" name="TextBox 13">
          <a:extLst>
            <a:ext uri="{FF2B5EF4-FFF2-40B4-BE49-F238E27FC236}">
              <a16:creationId xmlns:a16="http://schemas.microsoft.com/office/drawing/2014/main" id="{83B0757A-3EA5-B8D1-B408-11B898053657}"/>
            </a:ext>
          </a:extLst>
        </xdr:cNvPr>
        <xdr:cNvSpPr txBox="1"/>
      </xdr:nvSpPr>
      <xdr:spPr>
        <a:xfrm>
          <a:off x="9200027" y="6152030"/>
          <a:ext cx="60048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EAC5F49-47E4-4978-87A9-21916C3E1AA5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1.51 M</a:t>
          </a:fld>
          <a:endParaRPr lang="en-US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0.70677</cdr:x>
      <cdr:y>0.405</cdr:y>
    </cdr:from>
    <cdr:to>
      <cdr:x>0.86015</cdr:x>
      <cdr:y>0.813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493584F-04E3-0DF3-6302-3F48576262E8}"/>
            </a:ext>
          </a:extLst>
        </cdr:cNvPr>
        <cdr:cNvSpPr txBox="1"/>
      </cdr:nvSpPr>
      <cdr:spPr>
        <a:xfrm xmlns:a="http://schemas.openxmlformats.org/drawingml/2006/main">
          <a:off x="4213412" y="9076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0.74248</cdr:x>
      <cdr:y>0.535</cdr:y>
    </cdr:from>
    <cdr:to>
      <cdr:x>0.89586</cdr:x>
      <cdr:y>0.943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96849C8-A96A-3759-83A8-38C925691FB4}"/>
            </a:ext>
          </a:extLst>
        </cdr:cNvPr>
        <cdr:cNvSpPr txBox="1"/>
      </cdr:nvSpPr>
      <cdr:spPr>
        <a:xfrm xmlns:a="http://schemas.openxmlformats.org/drawingml/2006/main">
          <a:off x="4426323" y="119903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D15AE-41CA-42E0-A3A6-26231764B80F}" name="Table1" displayName="Table1" ref="N11:R20" totalsRowShown="0" headerRowDxfId="18" dataDxfId="17">
  <autoFilter ref="N11:R20" xr:uid="{D8AD15AE-41CA-42E0-A3A6-26231764B80F}"/>
  <tableColumns count="5">
    <tableColumn id="1" xr3:uid="{27025D0F-14EA-42B1-8507-C75FD07CF742}" name="KLUSTER" dataDxfId="16"/>
    <tableColumn id="2" xr3:uid="{9C11C5D2-3903-4F5C-890F-A5AB79B2BF34}" name="RPD" dataDxfId="15"/>
    <tableColumn id="3" xr3:uid="{1921327E-CDCE-40CC-95FD-862869DF058A}" name="Realisasi" dataDxfId="14"/>
    <tableColumn id="4" xr3:uid="{9FA7A0E3-9785-4FCF-A734-3F38604A4015}" name="Selisih" dataDxfId="13"/>
    <tableColumn id="5" xr3:uid="{F2166963-85BB-4D88-B29F-D5189DFA254F}" name="Persentase" dataDxfId="12" dataCellStyle="Percent">
      <calculatedColumnFormula>P12/O12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0496-3F78-4DD9-9DDD-2C959510B51C}">
  <sheetPr>
    <tabColor rgb="FF00B0F0"/>
    <pageSetUpPr fitToPage="1"/>
  </sheetPr>
  <dimension ref="B1:Z41"/>
  <sheetViews>
    <sheetView showGridLines="0" zoomScale="85" zoomScaleNormal="85" workbookViewId="0">
      <selection activeCell="C39" sqref="C39"/>
    </sheetView>
  </sheetViews>
  <sheetFormatPr defaultColWidth="9.7109375" defaultRowHeight="15"/>
  <cols>
    <col min="1" max="1" width="2.7109375" style="112" customWidth="1"/>
    <col min="2" max="2" width="2.140625" style="112" customWidth="1"/>
    <col min="3" max="13" width="11.140625" style="112" customWidth="1"/>
    <col min="14" max="14" width="14.42578125" style="112" customWidth="1"/>
    <col min="15" max="18" width="11.140625" style="112" customWidth="1"/>
    <col min="19" max="19" width="3.28515625" style="112" customWidth="1"/>
    <col min="20" max="26" width="9.85546875" style="112" customWidth="1"/>
    <col min="27" max="16384" width="9.7109375" style="112"/>
  </cols>
  <sheetData>
    <row r="1" spans="2:26" ht="4.5" customHeight="1" thickBot="1"/>
    <row r="2" spans="2:26" ht="16.5" customHeight="1">
      <c r="B2" s="182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4"/>
    </row>
    <row r="3" spans="2:26" ht="15" customHeight="1">
      <c r="B3" s="185"/>
      <c r="C3" s="273" t="s">
        <v>360</v>
      </c>
      <c r="D3" s="273"/>
      <c r="E3" s="273"/>
      <c r="F3" s="273"/>
      <c r="G3" s="273"/>
      <c r="H3" s="273"/>
      <c r="I3" s="273"/>
      <c r="J3" s="186"/>
      <c r="K3" s="187"/>
      <c r="L3" s="187"/>
      <c r="M3" s="187"/>
      <c r="N3" s="274" t="str">
        <f>IF(SUM(K7)&lt;(G7),"REALISASI DIBAWAH TARGET","REALISASI AMAN")</f>
        <v>REALISASI DIBAWAH TARGET</v>
      </c>
      <c r="O3" s="274"/>
      <c r="P3" s="274"/>
      <c r="Q3" s="274"/>
      <c r="R3" s="274"/>
      <c r="S3" s="188"/>
      <c r="T3" s="170"/>
      <c r="U3" s="170"/>
      <c r="V3" s="170"/>
      <c r="W3" s="170"/>
      <c r="X3" s="170"/>
      <c r="Y3" s="170"/>
      <c r="Z3" s="170"/>
    </row>
    <row r="4" spans="2:26">
      <c r="B4" s="185"/>
      <c r="C4" s="273"/>
      <c r="D4" s="273"/>
      <c r="E4" s="273"/>
      <c r="F4" s="273"/>
      <c r="G4" s="273"/>
      <c r="H4" s="273"/>
      <c r="I4" s="273"/>
      <c r="J4" s="187"/>
      <c r="K4" s="187"/>
      <c r="L4" s="187"/>
      <c r="M4" s="187"/>
      <c r="N4" s="274"/>
      <c r="O4" s="274"/>
      <c r="P4" s="274"/>
      <c r="Q4" s="274"/>
      <c r="R4" s="274"/>
      <c r="S4" s="188"/>
      <c r="T4" s="170"/>
      <c r="U4" s="170"/>
      <c r="V4" s="170"/>
      <c r="W4" s="170"/>
      <c r="X4" s="170"/>
      <c r="Y4" s="170"/>
      <c r="Z4" s="170"/>
    </row>
    <row r="5" spans="2:26">
      <c r="B5" s="185"/>
      <c r="C5" s="273"/>
      <c r="D5" s="273"/>
      <c r="E5" s="273"/>
      <c r="F5" s="273"/>
      <c r="G5" s="273"/>
      <c r="H5" s="273"/>
      <c r="I5" s="273"/>
      <c r="J5" s="187"/>
      <c r="K5" s="187"/>
      <c r="L5" s="187"/>
      <c r="M5" s="187"/>
      <c r="N5" s="187"/>
      <c r="O5" s="187"/>
      <c r="P5" s="187"/>
      <c r="Q5" s="187"/>
      <c r="R5" s="187"/>
      <c r="S5" s="188"/>
      <c r="T5" s="170"/>
      <c r="U5" s="170"/>
      <c r="V5" s="170"/>
      <c r="W5" s="170"/>
      <c r="X5" s="170"/>
      <c r="Y5" s="170"/>
      <c r="Z5" s="170"/>
    </row>
    <row r="6" spans="2:26" s="169" customFormat="1" ht="38.25" customHeight="1">
      <c r="B6" s="219"/>
      <c r="C6" s="275" t="s">
        <v>355</v>
      </c>
      <c r="D6" s="275"/>
      <c r="E6" s="275"/>
      <c r="F6" s="275" t="s">
        <v>356</v>
      </c>
      <c r="G6" s="275"/>
      <c r="H6" s="275"/>
      <c r="I6" s="275"/>
      <c r="J6" s="275" t="s">
        <v>358</v>
      </c>
      <c r="K6" s="275"/>
      <c r="L6" s="275"/>
      <c r="M6" s="275" t="s">
        <v>359</v>
      </c>
      <c r="N6" s="275"/>
      <c r="O6" s="276" t="s">
        <v>357</v>
      </c>
      <c r="P6" s="276"/>
      <c r="Q6" s="276"/>
      <c r="R6" s="276"/>
      <c r="S6" s="189"/>
      <c r="T6" s="268"/>
      <c r="U6" s="268"/>
    </row>
    <row r="7" spans="2:26" s="171" customFormat="1" ht="32.25" customHeight="1">
      <c r="B7" s="190"/>
      <c r="C7" s="269">
        <f>RAW_SP2D!D4</f>
        <v>22677936000</v>
      </c>
      <c r="D7" s="269"/>
      <c r="E7" s="269"/>
      <c r="F7" s="191"/>
      <c r="G7" s="269">
        <f>RAW_SP2D!E4</f>
        <v>2620000000</v>
      </c>
      <c r="H7" s="269"/>
      <c r="I7" s="269"/>
      <c r="J7" s="191"/>
      <c r="K7" s="269">
        <f>RAW_SP2D!G4</f>
        <v>1508164631</v>
      </c>
      <c r="L7" s="269"/>
      <c r="M7" s="192"/>
      <c r="N7" s="193">
        <f>RAW_SP2D!I4</f>
        <v>0.38492779704466934</v>
      </c>
      <c r="O7" s="192"/>
      <c r="P7" s="191"/>
      <c r="Q7" s="269">
        <f>K7-G7</f>
        <v>-1111835369</v>
      </c>
      <c r="R7" s="269"/>
      <c r="S7" s="194"/>
      <c r="T7" s="268"/>
      <c r="U7" s="268"/>
      <c r="V7" s="173"/>
      <c r="Y7" s="173"/>
      <c r="Z7" s="173"/>
    </row>
    <row r="8" spans="2:26" s="174" customFormat="1" ht="22.5" customHeight="1">
      <c r="B8" s="195"/>
      <c r="C8" s="244" t="s">
        <v>274</v>
      </c>
      <c r="D8" s="245" t="str">
        <f>Monitoring_LS!R2</f>
        <v>Juni 2026</v>
      </c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6"/>
      <c r="U8" s="247"/>
      <c r="V8" s="247"/>
      <c r="X8" s="248"/>
      <c r="Y8" s="248"/>
      <c r="Z8" s="248"/>
    </row>
    <row r="9" spans="2:26" ht="4.5" customHeight="1">
      <c r="B9" s="185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196"/>
      <c r="T9" s="168"/>
      <c r="U9" s="168"/>
      <c r="V9" s="168"/>
      <c r="X9" s="167"/>
      <c r="Y9" s="167"/>
      <c r="Z9" s="167"/>
    </row>
    <row r="10" spans="2:26" ht="10.5" customHeight="1">
      <c r="B10" s="185"/>
      <c r="C10" s="197"/>
      <c r="D10" s="197"/>
      <c r="E10" s="197"/>
      <c r="F10" s="197"/>
      <c r="G10" s="186"/>
      <c r="H10" s="186"/>
      <c r="I10" s="197"/>
      <c r="J10" s="186"/>
      <c r="K10" s="186"/>
      <c r="L10" s="186"/>
      <c r="M10" s="186"/>
      <c r="N10" s="186"/>
      <c r="O10" s="186"/>
      <c r="P10" s="186"/>
      <c r="Q10" s="197"/>
      <c r="R10" s="197"/>
      <c r="S10" s="198"/>
      <c r="X10" s="170"/>
      <c r="Y10" s="170"/>
      <c r="Z10" s="170"/>
    </row>
    <row r="11" spans="2:26" ht="10.5" customHeight="1">
      <c r="B11" s="185"/>
      <c r="C11" s="197"/>
      <c r="D11" s="197"/>
      <c r="E11" s="197"/>
      <c r="F11" s="197"/>
      <c r="G11" s="186"/>
      <c r="H11" s="186"/>
      <c r="I11" s="197"/>
      <c r="J11" s="186"/>
      <c r="K11" s="186"/>
      <c r="L11" s="186"/>
      <c r="M11" s="186"/>
      <c r="N11" s="186"/>
      <c r="O11" s="186"/>
      <c r="P11" s="186"/>
      <c r="Q11" s="197"/>
      <c r="R11" s="197"/>
      <c r="S11" s="198"/>
      <c r="X11" s="170"/>
      <c r="Y11" s="170"/>
      <c r="Z11" s="170"/>
    </row>
    <row r="12" spans="2:26" ht="10.5" customHeight="1">
      <c r="B12" s="185"/>
      <c r="C12" s="197"/>
      <c r="D12" s="197"/>
      <c r="E12" s="197"/>
      <c r="F12" s="197"/>
      <c r="G12" s="186"/>
      <c r="H12" s="186"/>
      <c r="I12" s="197"/>
      <c r="J12" s="186"/>
      <c r="K12" s="186"/>
      <c r="L12" s="186"/>
      <c r="M12" s="186"/>
      <c r="N12" s="186"/>
      <c r="O12" s="186"/>
      <c r="P12" s="186"/>
      <c r="Q12" s="197"/>
      <c r="R12" s="197"/>
      <c r="S12" s="198"/>
      <c r="X12" s="170"/>
      <c r="Y12" s="170"/>
      <c r="Z12" s="170"/>
    </row>
    <row r="13" spans="2:26" ht="10.5" customHeight="1">
      <c r="B13" s="185"/>
      <c r="C13" s="197"/>
      <c r="D13" s="197"/>
      <c r="E13" s="197"/>
      <c r="F13" s="197"/>
      <c r="G13" s="186"/>
      <c r="H13" s="186"/>
      <c r="I13" s="197"/>
      <c r="J13" s="186"/>
      <c r="K13" s="186"/>
      <c r="L13" s="186"/>
      <c r="M13" s="186"/>
      <c r="N13" s="186"/>
      <c r="O13" s="186"/>
      <c r="P13" s="186"/>
      <c r="Q13" s="197"/>
      <c r="R13" s="197"/>
      <c r="S13" s="198"/>
      <c r="X13" s="170"/>
      <c r="Y13" s="170"/>
      <c r="Z13" s="170"/>
    </row>
    <row r="14" spans="2:26" ht="10.5" customHeight="1">
      <c r="B14" s="185"/>
      <c r="C14" s="197"/>
      <c r="D14" s="197"/>
      <c r="E14" s="197"/>
      <c r="F14" s="197"/>
      <c r="G14" s="186"/>
      <c r="H14" s="186"/>
      <c r="I14" s="197"/>
      <c r="J14" s="186"/>
      <c r="K14" s="186"/>
      <c r="L14" s="186"/>
      <c r="M14" s="186"/>
      <c r="N14" s="186"/>
      <c r="O14" s="186"/>
      <c r="P14" s="186"/>
      <c r="Q14" s="197"/>
      <c r="R14" s="197"/>
      <c r="S14" s="198"/>
      <c r="X14" s="170"/>
      <c r="Y14" s="170"/>
      <c r="Z14" s="170"/>
    </row>
    <row r="15" spans="2:26" ht="10.5" customHeight="1">
      <c r="B15" s="185"/>
      <c r="C15" s="197"/>
      <c r="D15" s="197"/>
      <c r="E15" s="197"/>
      <c r="F15" s="197"/>
      <c r="G15" s="186"/>
      <c r="H15" s="186"/>
      <c r="I15" s="197"/>
      <c r="J15" s="186"/>
      <c r="K15" s="186"/>
      <c r="L15" s="186"/>
      <c r="M15" s="186"/>
      <c r="N15" s="186"/>
      <c r="O15" s="186"/>
      <c r="P15" s="186"/>
      <c r="Q15" s="197"/>
      <c r="R15" s="197"/>
      <c r="S15" s="198"/>
      <c r="X15" s="170"/>
      <c r="Y15" s="170"/>
      <c r="Z15" s="170"/>
    </row>
    <row r="16" spans="2:26" ht="10.5" customHeight="1">
      <c r="B16" s="185"/>
      <c r="C16" s="197"/>
      <c r="D16" s="197"/>
      <c r="E16" s="197"/>
      <c r="F16" s="197"/>
      <c r="G16" s="186"/>
      <c r="H16" s="186"/>
      <c r="I16" s="197"/>
      <c r="J16" s="186"/>
      <c r="K16" s="186"/>
      <c r="L16" s="186"/>
      <c r="M16" s="186"/>
      <c r="N16" s="186"/>
      <c r="O16" s="186"/>
      <c r="P16" s="186"/>
      <c r="Q16" s="197"/>
      <c r="R16" s="197"/>
      <c r="S16" s="198"/>
      <c r="X16" s="170"/>
      <c r="Y16" s="170"/>
      <c r="Z16" s="170"/>
    </row>
    <row r="17" spans="2:26">
      <c r="B17" s="185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99"/>
    </row>
    <row r="18" spans="2:26">
      <c r="B18" s="185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99"/>
    </row>
    <row r="19" spans="2:26">
      <c r="B19" s="185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99"/>
    </row>
    <row r="20" spans="2:26" s="113" customFormat="1" ht="18" customHeight="1">
      <c r="B20" s="200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2"/>
      <c r="O20" s="201"/>
      <c r="P20" s="201"/>
      <c r="Q20" s="201"/>
      <c r="R20" s="201"/>
      <c r="S20" s="203"/>
      <c r="Z20" s="175"/>
    </row>
    <row r="21" spans="2:26" ht="14.25" customHeight="1">
      <c r="B21" s="185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204"/>
      <c r="O21" s="186"/>
      <c r="P21" s="186"/>
      <c r="Q21" s="186"/>
      <c r="R21" s="186"/>
      <c r="S21" s="199"/>
      <c r="Z21" s="178"/>
    </row>
    <row r="22" spans="2:26" ht="14.25" customHeight="1">
      <c r="B22" s="185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204"/>
      <c r="O22" s="186"/>
      <c r="P22" s="186"/>
      <c r="Q22" s="186"/>
      <c r="R22" s="186"/>
      <c r="S22" s="199"/>
      <c r="Z22" s="178"/>
    </row>
    <row r="23" spans="2:26" ht="14.25" customHeight="1">
      <c r="B23" s="185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204"/>
      <c r="O23" s="186"/>
      <c r="P23" s="186"/>
      <c r="Q23" s="186"/>
      <c r="R23" s="186"/>
      <c r="S23" s="199"/>
      <c r="Z23" s="178"/>
    </row>
    <row r="24" spans="2:26" ht="14.25" customHeight="1">
      <c r="B24" s="185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204"/>
      <c r="O24" s="186"/>
      <c r="P24" s="186"/>
      <c r="Q24" s="186"/>
      <c r="R24" s="186"/>
      <c r="S24" s="199"/>
      <c r="Z24" s="178"/>
    </row>
    <row r="25" spans="2:26" ht="14.25" customHeight="1">
      <c r="B25" s="185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204"/>
      <c r="O25" s="186"/>
      <c r="P25" s="186"/>
      <c r="Q25" s="186"/>
      <c r="R25" s="186"/>
      <c r="S25" s="199"/>
      <c r="Z25" s="178"/>
    </row>
    <row r="26" spans="2:26" ht="22.5" customHeight="1">
      <c r="B26" s="185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204"/>
      <c r="O26" s="186"/>
      <c r="P26" s="186"/>
      <c r="Q26" s="186"/>
      <c r="R26" s="186"/>
      <c r="S26" s="199"/>
      <c r="Z26" s="178"/>
    </row>
    <row r="27" spans="2:26" s="175" customFormat="1" ht="13.5" customHeight="1">
      <c r="B27" s="217"/>
      <c r="C27" s="270"/>
      <c r="D27" s="270"/>
      <c r="E27" s="271"/>
      <c r="F27" s="271"/>
      <c r="G27" s="202"/>
      <c r="H27" s="202"/>
      <c r="I27" s="202"/>
      <c r="J27" s="202"/>
      <c r="K27" s="272"/>
      <c r="L27" s="272"/>
      <c r="M27" s="202"/>
      <c r="N27" s="205"/>
      <c r="O27" s="202"/>
      <c r="P27" s="202"/>
      <c r="Q27" s="271"/>
      <c r="R27" s="271"/>
      <c r="S27" s="218"/>
      <c r="Z27" s="179"/>
    </row>
    <row r="28" spans="2:26" s="180" customFormat="1" ht="13.5" customHeight="1">
      <c r="B28" s="206"/>
      <c r="C28" s="264"/>
      <c r="D28" s="264"/>
      <c r="E28" s="260"/>
      <c r="F28" s="260"/>
      <c r="G28" s="208"/>
      <c r="H28" s="208"/>
      <c r="I28" s="208"/>
      <c r="J28" s="207"/>
      <c r="K28" s="267"/>
      <c r="L28" s="267"/>
      <c r="M28" s="208"/>
      <c r="N28" s="209"/>
      <c r="O28" s="208"/>
      <c r="P28" s="210"/>
      <c r="Q28" s="260"/>
      <c r="R28" s="260"/>
      <c r="S28" s="211"/>
      <c r="Z28" s="181"/>
    </row>
    <row r="29" spans="2:26" s="180" customFormat="1" ht="15" customHeight="1">
      <c r="B29" s="206"/>
      <c r="C29" s="240" t="s">
        <v>28</v>
      </c>
      <c r="D29" s="241"/>
      <c r="E29" s="262">
        <v>51</v>
      </c>
      <c r="F29" s="262"/>
      <c r="G29" s="265">
        <v>52</v>
      </c>
      <c r="H29" s="265"/>
      <c r="I29" s="265">
        <v>57</v>
      </c>
      <c r="J29" s="265"/>
      <c r="K29" s="223"/>
      <c r="L29" s="223"/>
      <c r="M29" s="208"/>
      <c r="N29" s="210"/>
      <c r="O29" s="208"/>
      <c r="P29" s="210"/>
      <c r="Q29" s="209"/>
      <c r="R29" s="209"/>
      <c r="S29" s="211"/>
    </row>
    <row r="30" spans="2:26" s="180" customFormat="1" ht="15" customHeight="1">
      <c r="B30" s="206"/>
      <c r="C30" s="264" t="s">
        <v>21</v>
      </c>
      <c r="D30" s="264"/>
      <c r="E30" s="260">
        <f>Monitoring_LS!E48</f>
        <v>1100222526</v>
      </c>
      <c r="F30" s="260"/>
      <c r="G30" s="266">
        <f>Monitoring_LS!E49</f>
        <v>0</v>
      </c>
      <c r="H30" s="266"/>
      <c r="I30" s="266">
        <f>Monitoring_LS!E49</f>
        <v>0</v>
      </c>
      <c r="J30" s="266"/>
      <c r="K30" s="221"/>
      <c r="L30" s="221"/>
      <c r="M30" s="208"/>
      <c r="N30" s="210"/>
      <c r="O30" s="208"/>
      <c r="P30" s="210"/>
      <c r="Q30" s="220"/>
      <c r="R30" s="220"/>
      <c r="S30" s="211"/>
    </row>
    <row r="31" spans="2:26" s="180" customFormat="1" ht="15" customHeight="1">
      <c r="B31" s="206"/>
      <c r="C31" s="207">
        <v>6301</v>
      </c>
      <c r="D31" s="207"/>
      <c r="E31" s="260">
        <v>0</v>
      </c>
      <c r="F31" s="260"/>
      <c r="G31" s="259">
        <f>'Monitoring_UP,KKP,TUP'!H66</f>
        <v>45154116</v>
      </c>
      <c r="H31" s="259"/>
      <c r="I31" s="259">
        <f>Monitoring_LS!I48</f>
        <v>26209740</v>
      </c>
      <c r="J31" s="259"/>
      <c r="K31" s="221"/>
      <c r="L31" s="221"/>
      <c r="M31" s="208"/>
      <c r="N31" s="210"/>
      <c r="O31" s="208"/>
      <c r="P31" s="210"/>
      <c r="Q31" s="220"/>
      <c r="R31" s="220"/>
      <c r="S31" s="211"/>
    </row>
    <row r="32" spans="2:26" s="180" customFormat="1" ht="15" customHeight="1">
      <c r="B32" s="206"/>
      <c r="C32" s="207" t="s">
        <v>26</v>
      </c>
      <c r="D32" s="207"/>
      <c r="E32" s="260">
        <v>0</v>
      </c>
      <c r="F32" s="260"/>
      <c r="G32" s="259">
        <f>'Monitoring_UP,KKP,TUP'!H65</f>
        <v>2670000</v>
      </c>
      <c r="H32" s="259"/>
      <c r="I32" s="259">
        <f>Monitoring_LS!M53</f>
        <v>0</v>
      </c>
      <c r="J32" s="259"/>
      <c r="K32" s="221"/>
      <c r="L32" s="221"/>
      <c r="M32" s="208"/>
      <c r="N32" s="210"/>
      <c r="O32" s="208"/>
      <c r="P32" s="210"/>
      <c r="Q32" s="220"/>
      <c r="R32" s="220"/>
      <c r="S32" s="211"/>
    </row>
    <row r="33" spans="2:26" s="180" customFormat="1" ht="15" customHeight="1">
      <c r="B33" s="206"/>
      <c r="C33" s="207" t="s">
        <v>25</v>
      </c>
      <c r="D33" s="207"/>
      <c r="E33" s="260">
        <v>0</v>
      </c>
      <c r="F33" s="260"/>
      <c r="G33" s="259">
        <f>'Monitoring_UP,KKP,TUP'!H64</f>
        <v>12306000</v>
      </c>
      <c r="H33" s="259"/>
      <c r="I33" s="259">
        <f>Monitoring_LS!M52</f>
        <v>58428000</v>
      </c>
      <c r="J33" s="259"/>
      <c r="K33" s="221"/>
      <c r="L33" s="221"/>
      <c r="M33" s="208"/>
      <c r="N33" s="210"/>
      <c r="O33" s="208"/>
      <c r="P33" s="210"/>
      <c r="Q33" s="220"/>
      <c r="R33" s="220"/>
      <c r="S33" s="211"/>
    </row>
    <row r="34" spans="2:26" s="180" customFormat="1" ht="15" customHeight="1">
      <c r="B34" s="206"/>
      <c r="C34" s="210" t="s">
        <v>367</v>
      </c>
      <c r="D34" s="210"/>
      <c r="E34" s="260">
        <v>0</v>
      </c>
      <c r="F34" s="260"/>
      <c r="G34" s="259">
        <f>'Monitoring_UP,KKP,TUP'!H63</f>
        <v>40400000</v>
      </c>
      <c r="H34" s="259"/>
      <c r="I34" s="259">
        <f>Monitoring_LS!M51</f>
        <v>0</v>
      </c>
      <c r="J34" s="259"/>
      <c r="K34" s="223"/>
      <c r="L34" s="223"/>
      <c r="M34" s="208"/>
      <c r="N34" s="208"/>
      <c r="O34" s="208"/>
      <c r="P34" s="210"/>
      <c r="Q34" s="209"/>
      <c r="R34" s="209"/>
      <c r="S34" s="211"/>
    </row>
    <row r="35" spans="2:26" s="180" customFormat="1" ht="15" customHeight="1">
      <c r="B35" s="206"/>
      <c r="C35" s="210" t="s">
        <v>368</v>
      </c>
      <c r="D35" s="210"/>
      <c r="E35" s="260">
        <v>0</v>
      </c>
      <c r="F35" s="260"/>
      <c r="G35" s="259">
        <f>'Monitoring_UP,KKP,TUP'!H62</f>
        <v>40400000</v>
      </c>
      <c r="H35" s="259"/>
      <c r="I35" s="259">
        <f>Monitoring_LS!M50</f>
        <v>58887000</v>
      </c>
      <c r="J35" s="259"/>
      <c r="K35" s="239"/>
      <c r="L35" s="202"/>
      <c r="M35" s="208"/>
      <c r="N35" s="208"/>
      <c r="O35" s="208"/>
      <c r="P35" s="210"/>
      <c r="Q35" s="209"/>
      <c r="R35" s="209"/>
      <c r="S35" s="211"/>
    </row>
    <row r="36" spans="2:26" s="180" customFormat="1" ht="15" customHeight="1">
      <c r="B36" s="206"/>
      <c r="C36" s="210" t="s">
        <v>369</v>
      </c>
      <c r="D36" s="210"/>
      <c r="E36" s="260">
        <v>0</v>
      </c>
      <c r="F36" s="260"/>
      <c r="G36" s="259">
        <f>'Monitoring_UP,KKP,TUP'!H61</f>
        <v>28877249</v>
      </c>
      <c r="H36" s="259"/>
      <c r="I36" s="259">
        <f>Monitoring_LS!M49</f>
        <v>58400000</v>
      </c>
      <c r="J36" s="259"/>
      <c r="K36" s="208"/>
      <c r="L36" s="208"/>
      <c r="M36" s="208"/>
      <c r="N36" s="208"/>
      <c r="O36" s="208"/>
      <c r="P36" s="210"/>
      <c r="Q36" s="209"/>
      <c r="R36" s="209"/>
      <c r="S36" s="211"/>
    </row>
    <row r="37" spans="2:26" s="180" customFormat="1" ht="15" customHeight="1">
      <c r="B37" s="206"/>
      <c r="C37" s="210" t="s">
        <v>370</v>
      </c>
      <c r="D37" s="210"/>
      <c r="E37" s="260">
        <v>0</v>
      </c>
      <c r="F37" s="260"/>
      <c r="G37" s="259">
        <f>'Monitoring_UP,KKP,TUP'!H60</f>
        <v>36210000</v>
      </c>
      <c r="H37" s="259"/>
      <c r="I37" s="259">
        <f>Monitoring_LS!M48</f>
        <v>0</v>
      </c>
      <c r="J37" s="259"/>
      <c r="K37" s="208"/>
      <c r="L37" s="208"/>
      <c r="M37" s="208"/>
      <c r="N37" s="208"/>
      <c r="O37" s="208"/>
      <c r="P37" s="210"/>
      <c r="Q37" s="209"/>
      <c r="R37" s="209"/>
      <c r="S37" s="211"/>
    </row>
    <row r="38" spans="2:26" s="180" customFormat="1" ht="15" customHeight="1">
      <c r="B38" s="206"/>
      <c r="C38" s="261" t="s">
        <v>272</v>
      </c>
      <c r="D38" s="262"/>
      <c r="E38" s="263">
        <f>SUM(E30:F37)</f>
        <v>1100222526</v>
      </c>
      <c r="F38" s="263"/>
      <c r="G38" s="263">
        <f t="shared" ref="G38" si="0">SUM(G30:H37)</f>
        <v>206017365</v>
      </c>
      <c r="H38" s="263"/>
      <c r="I38" s="263">
        <f t="shared" ref="I38" si="1">SUM(I30:J37)</f>
        <v>201924740</v>
      </c>
      <c r="J38" s="263"/>
      <c r="K38" s="208"/>
      <c r="L38" s="208"/>
      <c r="M38" s="208"/>
      <c r="N38" s="208"/>
      <c r="O38" s="208"/>
      <c r="P38" s="210"/>
      <c r="Q38" s="209"/>
      <c r="R38" s="209"/>
      <c r="S38" s="211"/>
    </row>
    <row r="39" spans="2:26" ht="15.75" thickBot="1">
      <c r="B39" s="212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22"/>
      <c r="Q39" s="222"/>
      <c r="R39" s="222"/>
      <c r="S39" s="214"/>
    </row>
    <row r="41" spans="2:26">
      <c r="X41" s="172"/>
      <c r="Y41" s="176"/>
      <c r="Z41" s="177"/>
    </row>
  </sheetData>
  <mergeCells count="52">
    <mergeCell ref="C3:I5"/>
    <mergeCell ref="N3:R4"/>
    <mergeCell ref="C6:E6"/>
    <mergeCell ref="F6:I6"/>
    <mergeCell ref="J6:L6"/>
    <mergeCell ref="M6:N6"/>
    <mergeCell ref="O6:R6"/>
    <mergeCell ref="K28:L28"/>
    <mergeCell ref="Q28:R28"/>
    <mergeCell ref="E29:F29"/>
    <mergeCell ref="T6:U7"/>
    <mergeCell ref="C7:E7"/>
    <mergeCell ref="G7:I7"/>
    <mergeCell ref="K7:L7"/>
    <mergeCell ref="Q7:R7"/>
    <mergeCell ref="C27:D27"/>
    <mergeCell ref="E27:F27"/>
    <mergeCell ref="K27:L27"/>
    <mergeCell ref="Q27:R27"/>
    <mergeCell ref="E34:F34"/>
    <mergeCell ref="E35:F35"/>
    <mergeCell ref="G34:H34"/>
    <mergeCell ref="I34:J34"/>
    <mergeCell ref="C28:D28"/>
    <mergeCell ref="E28:F28"/>
    <mergeCell ref="C30:D30"/>
    <mergeCell ref="I29:J29"/>
    <mergeCell ref="G29:H29"/>
    <mergeCell ref="I30:J30"/>
    <mergeCell ref="G30:H30"/>
    <mergeCell ref="E30:F30"/>
    <mergeCell ref="I31:J31"/>
    <mergeCell ref="E32:F32"/>
    <mergeCell ref="G32:H32"/>
    <mergeCell ref="I32:J32"/>
    <mergeCell ref="C38:D38"/>
    <mergeCell ref="E38:F38"/>
    <mergeCell ref="G38:H38"/>
    <mergeCell ref="I38:J38"/>
    <mergeCell ref="E36:F36"/>
    <mergeCell ref="E37:F37"/>
    <mergeCell ref="E33:F33"/>
    <mergeCell ref="G33:H33"/>
    <mergeCell ref="I33:J33"/>
    <mergeCell ref="E31:F31"/>
    <mergeCell ref="G31:H31"/>
    <mergeCell ref="G35:H35"/>
    <mergeCell ref="I35:J35"/>
    <mergeCell ref="G36:H36"/>
    <mergeCell ref="I36:J36"/>
    <mergeCell ref="G37:H37"/>
    <mergeCell ref="I37:J37"/>
  </mergeCells>
  <conditionalFormatting sqref="N3:R4">
    <cfRule type="containsText" dxfId="11" priority="1" operator="containsText" text="REALISASI AMAN">
      <formula>NOT(ISERROR(SEARCH("REALISASI AMAN",N3)))</formula>
    </cfRule>
    <cfRule type="containsText" dxfId="10" priority="2" operator="containsText" text="REALISASI DIBAWAH TARGET">
      <formula>NOT(ISERROR(SEARCH("REALISASI DIBAWAH TARGET",N3)))</formula>
    </cfRule>
  </conditionalFormatting>
  <conditionalFormatting sqref="T6 X10:Z16">
    <cfRule type="containsText" dxfId="9" priority="3" operator="containsText" text="REALISASI AMAN">
      <formula>NOT(ISERROR(SEARCH("REALISASI AMAN",T6)))</formula>
    </cfRule>
    <cfRule type="containsText" dxfId="8" priority="4" operator="containsText" text="REALISASI DIBAWAH TARGET">
      <formula>NOT(ISERROR(SEARCH("REALISASI DIBAWAH TARGET",T6)))</formula>
    </cfRule>
  </conditionalFormatting>
  <printOptions horizontalCentered="1" verticalCentered="1"/>
  <pageMargins left="0.13" right="0.1" top="0.42" bottom="0.16" header="0.19" footer="0.12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2:R55"/>
  <sheetViews>
    <sheetView topLeftCell="A2" zoomScaleNormal="100" workbookViewId="0">
      <pane xSplit="4" ySplit="3" topLeftCell="E32" activePane="bottomRight" state="frozen"/>
      <selection activeCell="A2" sqref="A2"/>
      <selection pane="topRight" activeCell="E2" sqref="E2"/>
      <selection pane="bottomLeft" activeCell="A5" sqref="A5"/>
      <selection pane="bottomRight" activeCell="M56" sqref="M56"/>
    </sheetView>
  </sheetViews>
  <sheetFormatPr defaultRowHeight="15"/>
  <cols>
    <col min="1" max="1" width="1" customWidth="1"/>
    <col min="2" max="2" width="4.5703125" style="1" customWidth="1"/>
    <col min="3" max="3" width="34.42578125" customWidth="1"/>
    <col min="4" max="4" width="17.5703125" style="1" customWidth="1"/>
    <col min="5" max="5" width="14.42578125" style="138" customWidth="1"/>
    <col min="6" max="7" width="9.85546875" style="1" customWidth="1"/>
    <col min="8" max="8" width="8.7109375" style="1" customWidth="1"/>
    <col min="9" max="9" width="12.7109375" style="138" customWidth="1"/>
    <col min="10" max="10" width="17.7109375" style="31" customWidth="1"/>
    <col min="11" max="11" width="16.85546875" style="138" customWidth="1"/>
    <col min="12" max="12" width="16.85546875" style="1" customWidth="1"/>
    <col min="13" max="13" width="17.85546875" style="32" customWidth="1"/>
    <col min="14" max="14" width="13.42578125" customWidth="1"/>
    <col min="15" max="15" width="17.7109375" style="1" customWidth="1"/>
    <col min="16" max="16" width="12.28515625" style="1" customWidth="1"/>
    <col min="17" max="17" width="14.140625" style="1" customWidth="1"/>
    <col min="18" max="18" width="16" style="1" customWidth="1"/>
  </cols>
  <sheetData>
    <row r="2" spans="2:18" s="32" customFormat="1" ht="17.25" customHeight="1">
      <c r="B2" s="277" t="s">
        <v>361</v>
      </c>
      <c r="C2" s="278"/>
      <c r="D2" s="278"/>
      <c r="E2" s="278"/>
      <c r="F2" s="278"/>
      <c r="G2" s="278"/>
      <c r="H2" s="278"/>
      <c r="I2" s="138"/>
      <c r="J2" s="37"/>
      <c r="K2" s="138"/>
      <c r="L2" s="1"/>
      <c r="R2" s="40" t="s">
        <v>0</v>
      </c>
    </row>
    <row r="3" spans="2:18" s="32" customFormat="1" ht="5.25" customHeight="1">
      <c r="B3" s="39"/>
      <c r="C3" s="38"/>
      <c r="D3" s="38"/>
      <c r="E3" s="133"/>
      <c r="F3" s="38"/>
      <c r="G3" s="38"/>
      <c r="H3" s="38"/>
      <c r="I3" s="138"/>
      <c r="J3" s="37"/>
      <c r="K3" s="138"/>
      <c r="L3" s="1"/>
    </row>
    <row r="4" spans="2:18" s="1" customFormat="1" ht="30" customHeight="1">
      <c r="B4" s="28" t="s">
        <v>1</v>
      </c>
      <c r="C4" s="28" t="s">
        <v>2</v>
      </c>
      <c r="D4" s="28" t="s">
        <v>313</v>
      </c>
      <c r="E4" s="29" t="s">
        <v>3</v>
      </c>
      <c r="F4" s="28" t="s">
        <v>4</v>
      </c>
      <c r="G4" s="28" t="s">
        <v>5</v>
      </c>
      <c r="H4" s="28" t="s">
        <v>6</v>
      </c>
      <c r="I4" s="29" t="s">
        <v>7</v>
      </c>
      <c r="J4" s="30" t="s">
        <v>8</v>
      </c>
      <c r="K4" s="29" t="s">
        <v>9</v>
      </c>
      <c r="L4" s="28" t="s">
        <v>10</v>
      </c>
      <c r="M4" s="28" t="s">
        <v>11</v>
      </c>
      <c r="N4" s="28" t="s">
        <v>12</v>
      </c>
      <c r="O4" s="28" t="s">
        <v>13</v>
      </c>
      <c r="P4" s="33" t="s">
        <v>14</v>
      </c>
      <c r="Q4" s="33" t="s">
        <v>15</v>
      </c>
      <c r="R4" s="33" t="s">
        <v>16</v>
      </c>
    </row>
    <row r="5" spans="2:18">
      <c r="B5" s="78">
        <v>1</v>
      </c>
      <c r="C5" s="52" t="s">
        <v>281</v>
      </c>
      <c r="D5" s="124" t="s">
        <v>21</v>
      </c>
      <c r="E5" s="134"/>
      <c r="F5" s="53"/>
      <c r="G5" s="53"/>
      <c r="H5" s="53"/>
      <c r="I5" s="134"/>
      <c r="J5" s="54">
        <v>111195506</v>
      </c>
      <c r="K5" s="134">
        <v>46174</v>
      </c>
      <c r="L5" s="136">
        <f>K5+7</f>
        <v>46181</v>
      </c>
      <c r="M5" s="124"/>
      <c r="N5" s="53" t="s">
        <v>293</v>
      </c>
      <c r="O5" s="53" t="str">
        <f t="shared" ref="O5:O7" ca="1" si="0">IF(N5="Selesai","AMAN",IF(L5-TODAY()&lt;=3,"SEGERA DIPROSES",IF(TODAY()&gt;L5,"LEWAT DEADLINE","AMAN")))</f>
        <v>AMAN</v>
      </c>
      <c r="P5" s="118" t="s">
        <v>284</v>
      </c>
      <c r="Q5" s="53" t="s">
        <v>269</v>
      </c>
      <c r="R5" s="117">
        <v>46174</v>
      </c>
    </row>
    <row r="6" spans="2:18">
      <c r="B6" s="78">
        <v>2</v>
      </c>
      <c r="C6" s="52" t="s">
        <v>282</v>
      </c>
      <c r="D6" s="124" t="s">
        <v>21</v>
      </c>
      <c r="E6" s="134"/>
      <c r="F6" s="53"/>
      <c r="G6" s="53"/>
      <c r="H6" s="53"/>
      <c r="I6" s="134"/>
      <c r="J6" s="54">
        <v>4461622</v>
      </c>
      <c r="K6" s="134">
        <v>46174</v>
      </c>
      <c r="L6" s="134">
        <f t="shared" ref="L6:L14" si="1">K6+7</f>
        <v>46181</v>
      </c>
      <c r="M6" s="124"/>
      <c r="N6" s="53" t="s">
        <v>293</v>
      </c>
      <c r="O6" s="53" t="str">
        <f t="shared" ca="1" si="0"/>
        <v>AMAN</v>
      </c>
      <c r="P6" s="118" t="s">
        <v>285</v>
      </c>
      <c r="Q6" s="53" t="s">
        <v>269</v>
      </c>
      <c r="R6" s="117">
        <v>46174</v>
      </c>
    </row>
    <row r="7" spans="2:18">
      <c r="B7" s="78">
        <v>3</v>
      </c>
      <c r="C7" s="56" t="s">
        <v>283</v>
      </c>
      <c r="D7" s="125" t="s">
        <v>21</v>
      </c>
      <c r="E7" s="135"/>
      <c r="F7" s="57"/>
      <c r="G7" s="57"/>
      <c r="H7" s="57"/>
      <c r="I7" s="135"/>
      <c r="J7" s="58">
        <v>164841870</v>
      </c>
      <c r="K7" s="134">
        <v>46174</v>
      </c>
      <c r="L7" s="134">
        <f t="shared" si="1"/>
        <v>46181</v>
      </c>
      <c r="M7" s="125"/>
      <c r="N7" s="53" t="s">
        <v>293</v>
      </c>
      <c r="O7" s="53" t="str">
        <f t="shared" ca="1" si="0"/>
        <v>AMAN</v>
      </c>
      <c r="P7" s="118" t="s">
        <v>286</v>
      </c>
      <c r="Q7" s="53" t="s">
        <v>269</v>
      </c>
      <c r="R7" s="117">
        <v>46174</v>
      </c>
    </row>
    <row r="8" spans="2:18">
      <c r="B8" s="78">
        <v>4</v>
      </c>
      <c r="C8" s="56" t="s">
        <v>287</v>
      </c>
      <c r="D8" s="125" t="s">
        <v>21</v>
      </c>
      <c r="E8" s="135"/>
      <c r="F8" s="57"/>
      <c r="G8" s="57"/>
      <c r="H8" s="57"/>
      <c r="I8" s="135"/>
      <c r="J8" s="58">
        <v>114625709</v>
      </c>
      <c r="K8" s="134">
        <v>46175</v>
      </c>
      <c r="L8" s="134">
        <f t="shared" si="1"/>
        <v>46182</v>
      </c>
      <c r="M8" s="125"/>
      <c r="N8" s="53" t="s">
        <v>293</v>
      </c>
      <c r="O8" s="53" t="str">
        <f t="shared" ref="O8:O10" ca="1" si="2">IF(N8="Selesai","AMAN",IF(L8-TODAY()&lt;=3,"SEGERA DIPROSES",IF(TODAY()&gt;L8,"LEWAT DEADLINE","AMAN")))</f>
        <v>AMAN</v>
      </c>
      <c r="P8" s="119" t="s">
        <v>290</v>
      </c>
      <c r="Q8" s="53" t="s">
        <v>269</v>
      </c>
      <c r="R8" s="120">
        <v>46175</v>
      </c>
    </row>
    <row r="9" spans="2:18">
      <c r="B9" s="78">
        <v>5</v>
      </c>
      <c r="C9" s="56" t="s">
        <v>288</v>
      </c>
      <c r="D9" s="125" t="s">
        <v>21</v>
      </c>
      <c r="E9" s="135"/>
      <c r="F9" s="57"/>
      <c r="G9" s="57"/>
      <c r="H9" s="57"/>
      <c r="I9" s="135"/>
      <c r="J9" s="58">
        <v>4617857</v>
      </c>
      <c r="K9" s="134">
        <v>46175</v>
      </c>
      <c r="L9" s="134">
        <f t="shared" si="1"/>
        <v>46182</v>
      </c>
      <c r="M9" s="125"/>
      <c r="N9" s="53" t="s">
        <v>293</v>
      </c>
      <c r="O9" s="53" t="str">
        <f t="shared" ca="1" si="2"/>
        <v>AMAN</v>
      </c>
      <c r="P9" s="119" t="s">
        <v>291</v>
      </c>
      <c r="Q9" s="53" t="s">
        <v>269</v>
      </c>
      <c r="R9" s="120">
        <v>46175</v>
      </c>
    </row>
    <row r="10" spans="2:18">
      <c r="B10" s="78">
        <v>6</v>
      </c>
      <c r="C10" s="56" t="s">
        <v>289</v>
      </c>
      <c r="D10" s="125" t="s">
        <v>21</v>
      </c>
      <c r="E10" s="135"/>
      <c r="F10" s="57"/>
      <c r="G10" s="57"/>
      <c r="H10" s="57"/>
      <c r="I10" s="135"/>
      <c r="J10" s="58">
        <v>112567700</v>
      </c>
      <c r="K10" s="134">
        <v>46175</v>
      </c>
      <c r="L10" s="134">
        <f t="shared" si="1"/>
        <v>46182</v>
      </c>
      <c r="M10" s="125"/>
      <c r="N10" s="53" t="s">
        <v>293</v>
      </c>
      <c r="O10" s="53" t="str">
        <f t="shared" ca="1" si="2"/>
        <v>AMAN</v>
      </c>
      <c r="P10" s="119" t="s">
        <v>292</v>
      </c>
      <c r="Q10" s="53" t="s">
        <v>269</v>
      </c>
      <c r="R10" s="120">
        <v>46175</v>
      </c>
    </row>
    <row r="11" spans="2:18" ht="30">
      <c r="B11" s="78">
        <v>7</v>
      </c>
      <c r="C11" s="73" t="s">
        <v>280</v>
      </c>
      <c r="D11" s="150" t="s">
        <v>23</v>
      </c>
      <c r="E11" s="136">
        <v>46143</v>
      </c>
      <c r="F11" s="75" t="s">
        <v>299</v>
      </c>
      <c r="G11" s="75" t="s">
        <v>302</v>
      </c>
      <c r="H11" s="74"/>
      <c r="I11" s="136"/>
      <c r="J11" s="76">
        <v>28950000</v>
      </c>
      <c r="K11" s="136">
        <v>46171</v>
      </c>
      <c r="L11" s="134">
        <f t="shared" si="1"/>
        <v>46178</v>
      </c>
      <c r="M11" s="126" t="s">
        <v>305</v>
      </c>
      <c r="N11" s="53" t="s">
        <v>293</v>
      </c>
      <c r="O11" s="74" t="str">
        <f ca="1">IF(N11="Selesai","AMAN",IF(L11-TODAY()&lt;=3,"SEGERA DIPROSES",IF(TODAY()&gt;L11,"LEWAT DEADLINE","AMAN")))</f>
        <v>AMAN</v>
      </c>
      <c r="P11" s="115" t="s">
        <v>277</v>
      </c>
      <c r="Q11" s="77" t="s">
        <v>269</v>
      </c>
      <c r="R11" s="116">
        <v>46175</v>
      </c>
    </row>
    <row r="12" spans="2:18" ht="30">
      <c r="B12" s="78">
        <v>8</v>
      </c>
      <c r="C12" s="52" t="s">
        <v>279</v>
      </c>
      <c r="D12" s="124" t="s">
        <v>23</v>
      </c>
      <c r="E12" s="134">
        <v>46143</v>
      </c>
      <c r="F12" s="118" t="s">
        <v>300</v>
      </c>
      <c r="G12" s="118" t="s">
        <v>301</v>
      </c>
      <c r="H12" s="53"/>
      <c r="I12" s="134"/>
      <c r="J12" s="54">
        <v>9740000</v>
      </c>
      <c r="K12" s="134">
        <v>46171</v>
      </c>
      <c r="L12" s="134">
        <f t="shared" si="1"/>
        <v>46178</v>
      </c>
      <c r="M12" s="127" t="s">
        <v>305</v>
      </c>
      <c r="N12" s="53" t="s">
        <v>293</v>
      </c>
      <c r="O12" s="53" t="str">
        <f ca="1">IF(N12="Selesai","AMAN",IF(L12-TODAY()&lt;=3,"SEGERA DIPROSES",IF(TODAY()&gt;L12,"LEWAT DEADLINE","AMAN")))</f>
        <v>AMAN</v>
      </c>
      <c r="P12" s="118" t="s">
        <v>278</v>
      </c>
      <c r="Q12" s="53" t="s">
        <v>269</v>
      </c>
      <c r="R12" s="117">
        <v>46175</v>
      </c>
    </row>
    <row r="13" spans="2:18" ht="30">
      <c r="B13" s="78">
        <v>9</v>
      </c>
      <c r="C13" s="52" t="s">
        <v>295</v>
      </c>
      <c r="D13" s="124" t="s">
        <v>23</v>
      </c>
      <c r="E13" s="134"/>
      <c r="F13" s="53"/>
      <c r="G13" s="53"/>
      <c r="H13" s="53"/>
      <c r="I13" s="134"/>
      <c r="J13" s="54">
        <v>4210000</v>
      </c>
      <c r="K13" s="134">
        <v>46175</v>
      </c>
      <c r="L13" s="134">
        <f t="shared" si="1"/>
        <v>46182</v>
      </c>
      <c r="M13" s="127"/>
      <c r="N13" s="53" t="s">
        <v>293</v>
      </c>
      <c r="O13" s="53" t="str">
        <f t="shared" ref="O13:O43" ca="1" si="3">IF(N13="Selesai","AMAN",IF(L13-TODAY()&lt;=3,"SEGERA DIPROSES",IF(TODAY()&gt;L13,"LEWAT DEADLINE","AMAN")))</f>
        <v>AMAN</v>
      </c>
      <c r="P13" s="118" t="s">
        <v>296</v>
      </c>
      <c r="Q13" s="53" t="s">
        <v>269</v>
      </c>
      <c r="R13" s="117">
        <v>46177</v>
      </c>
    </row>
    <row r="14" spans="2:18" ht="30">
      <c r="B14" s="78">
        <v>10</v>
      </c>
      <c r="C14" s="52" t="s">
        <v>298</v>
      </c>
      <c r="D14" s="124" t="s">
        <v>23</v>
      </c>
      <c r="E14" s="134"/>
      <c r="F14" s="53"/>
      <c r="G14" s="53"/>
      <c r="H14" s="53"/>
      <c r="I14" s="134"/>
      <c r="J14" s="54">
        <v>2000000</v>
      </c>
      <c r="K14" s="134">
        <v>46175</v>
      </c>
      <c r="L14" s="134">
        <f t="shared" si="1"/>
        <v>46182</v>
      </c>
      <c r="M14" s="127"/>
      <c r="N14" s="53" t="s">
        <v>293</v>
      </c>
      <c r="O14" s="53" t="str">
        <f t="shared" ca="1" si="3"/>
        <v>AMAN</v>
      </c>
      <c r="P14" s="118" t="s">
        <v>297</v>
      </c>
      <c r="Q14" s="53" t="s">
        <v>269</v>
      </c>
      <c r="R14" s="117">
        <v>46177</v>
      </c>
    </row>
    <row r="15" spans="2:18" ht="30">
      <c r="B15" s="78">
        <v>11</v>
      </c>
      <c r="C15" s="52" t="s">
        <v>306</v>
      </c>
      <c r="D15" s="124" t="s">
        <v>17</v>
      </c>
      <c r="E15" s="134">
        <v>46167</v>
      </c>
      <c r="F15" s="118" t="s">
        <v>303</v>
      </c>
      <c r="G15" s="53"/>
      <c r="H15" s="118" t="s">
        <v>304</v>
      </c>
      <c r="I15" s="134">
        <v>46163</v>
      </c>
      <c r="J15" s="54">
        <v>58887000</v>
      </c>
      <c r="K15" s="134">
        <v>46175</v>
      </c>
      <c r="L15" s="134">
        <v>46175</v>
      </c>
      <c r="M15" s="127" t="s">
        <v>305</v>
      </c>
      <c r="N15" s="53" t="s">
        <v>293</v>
      </c>
      <c r="O15" s="53" t="str">
        <f t="shared" ca="1" si="3"/>
        <v>AMAN</v>
      </c>
      <c r="P15" s="118" t="s">
        <v>311</v>
      </c>
      <c r="Q15" s="53" t="s">
        <v>269</v>
      </c>
      <c r="R15" s="117">
        <v>46178</v>
      </c>
    </row>
    <row r="16" spans="2:18" ht="30">
      <c r="B16" s="78">
        <v>12</v>
      </c>
      <c r="C16" s="52" t="s">
        <v>307</v>
      </c>
      <c r="D16" s="124" t="s">
        <v>25</v>
      </c>
      <c r="E16" s="134">
        <v>46167</v>
      </c>
      <c r="F16" s="118" t="s">
        <v>308</v>
      </c>
      <c r="G16" s="53"/>
      <c r="H16" s="118" t="s">
        <v>309</v>
      </c>
      <c r="I16" s="134">
        <v>46163</v>
      </c>
      <c r="J16" s="54">
        <v>58428000</v>
      </c>
      <c r="K16" s="134">
        <v>46175</v>
      </c>
      <c r="L16" s="134">
        <v>46175</v>
      </c>
      <c r="M16" s="127" t="s">
        <v>310</v>
      </c>
      <c r="N16" s="53" t="s">
        <v>293</v>
      </c>
      <c r="O16" s="53" t="str">
        <f t="shared" ca="1" si="3"/>
        <v>AMAN</v>
      </c>
      <c r="P16" s="118" t="s">
        <v>312</v>
      </c>
      <c r="Q16" s="53" t="s">
        <v>269</v>
      </c>
      <c r="R16" s="117">
        <v>46178</v>
      </c>
    </row>
    <row r="17" spans="2:18">
      <c r="B17" s="78">
        <v>13</v>
      </c>
      <c r="C17" s="52" t="s">
        <v>315</v>
      </c>
      <c r="D17" s="124" t="s">
        <v>21</v>
      </c>
      <c r="E17" s="134"/>
      <c r="F17" s="53"/>
      <c r="G17" s="53"/>
      <c r="H17" s="53"/>
      <c r="I17" s="134"/>
      <c r="J17" s="54">
        <v>127127836</v>
      </c>
      <c r="K17" s="134">
        <v>46181</v>
      </c>
      <c r="L17" s="134">
        <v>46182</v>
      </c>
      <c r="M17" s="127"/>
      <c r="N17" s="53" t="s">
        <v>293</v>
      </c>
      <c r="O17" s="53" t="str">
        <f t="shared" ca="1" si="3"/>
        <v>AMAN</v>
      </c>
      <c r="P17" s="118">
        <v>199</v>
      </c>
      <c r="Q17" s="53" t="s">
        <v>269</v>
      </c>
      <c r="R17" s="117">
        <v>46182</v>
      </c>
    </row>
    <row r="18" spans="2:18">
      <c r="B18" s="78">
        <v>14</v>
      </c>
      <c r="C18" s="52" t="s">
        <v>316</v>
      </c>
      <c r="D18" s="124" t="s">
        <v>21</v>
      </c>
      <c r="E18" s="134"/>
      <c r="F18" s="53"/>
      <c r="G18" s="53"/>
      <c r="H18" s="53"/>
      <c r="I18" s="134"/>
      <c r="J18" s="54">
        <v>3305176</v>
      </c>
      <c r="K18" s="134">
        <v>46181</v>
      </c>
      <c r="L18" s="134">
        <v>46182</v>
      </c>
      <c r="M18" s="127"/>
      <c r="N18" s="53" t="s">
        <v>293</v>
      </c>
      <c r="O18" s="53" t="str">
        <f t="shared" ref="O18" ca="1" si="4">IF(N18="Selesai","AMAN",IF(L18-TODAY()&lt;=3,"SEGERA DIPROSES",IF(TODAY()&gt;L18,"LEWAT DEADLINE","AMAN")))</f>
        <v>AMAN</v>
      </c>
      <c r="P18" s="118">
        <v>200</v>
      </c>
      <c r="Q18" s="53" t="s">
        <v>269</v>
      </c>
      <c r="R18" s="117">
        <v>46182</v>
      </c>
    </row>
    <row r="19" spans="2:18">
      <c r="B19" s="78">
        <v>15</v>
      </c>
      <c r="C19" s="52" t="s">
        <v>317</v>
      </c>
      <c r="D19" s="124" t="s">
        <v>21</v>
      </c>
      <c r="E19" s="134"/>
      <c r="F19" s="53"/>
      <c r="G19" s="53"/>
      <c r="H19" s="53"/>
      <c r="I19" s="134"/>
      <c r="J19" s="54">
        <v>12418000</v>
      </c>
      <c r="K19" s="134">
        <v>46181</v>
      </c>
      <c r="L19" s="134">
        <v>46182</v>
      </c>
      <c r="M19" s="127"/>
      <c r="N19" s="53" t="s">
        <v>293</v>
      </c>
      <c r="O19" s="53" t="str">
        <f t="shared" ref="O19" ca="1" si="5">IF(N19="Selesai","AMAN",IF(L19-TODAY()&lt;=3,"SEGERA DIPROSES",IF(TODAY()&gt;L19,"LEWAT DEADLINE","AMAN")))</f>
        <v>AMAN</v>
      </c>
      <c r="P19" s="118">
        <v>201</v>
      </c>
      <c r="Q19" s="53" t="s">
        <v>269</v>
      </c>
      <c r="R19" s="117">
        <v>46182</v>
      </c>
    </row>
    <row r="20" spans="2:18">
      <c r="B20" s="78">
        <v>16</v>
      </c>
      <c r="C20" s="52" t="s">
        <v>318</v>
      </c>
      <c r="D20" s="124" t="s">
        <v>21</v>
      </c>
      <c r="E20" s="134"/>
      <c r="F20" s="53"/>
      <c r="G20" s="53"/>
      <c r="H20" s="53"/>
      <c r="I20" s="134"/>
      <c r="J20" s="54">
        <v>592000</v>
      </c>
      <c r="K20" s="134">
        <v>46181</v>
      </c>
      <c r="L20" s="134">
        <v>46182</v>
      </c>
      <c r="M20" s="127"/>
      <c r="N20" s="53" t="s">
        <v>293</v>
      </c>
      <c r="O20" s="53" t="str">
        <f t="shared" ref="O20" ca="1" si="6">IF(N20="Selesai","AMAN",IF(L20-TODAY()&lt;=3,"SEGERA DIPROSES",IF(TODAY()&gt;L20,"LEWAT DEADLINE","AMAN")))</f>
        <v>AMAN</v>
      </c>
      <c r="P20" s="118">
        <v>202</v>
      </c>
      <c r="Q20" s="53" t="s">
        <v>269</v>
      </c>
      <c r="R20" s="117">
        <v>46182</v>
      </c>
    </row>
    <row r="21" spans="2:18">
      <c r="B21" s="78">
        <v>17</v>
      </c>
      <c r="C21" s="56" t="s">
        <v>319</v>
      </c>
      <c r="D21" s="124" t="s">
        <v>21</v>
      </c>
      <c r="E21" s="135"/>
      <c r="F21" s="57"/>
      <c r="G21" s="57"/>
      <c r="H21" s="57"/>
      <c r="I21" s="135"/>
      <c r="J21" s="58">
        <v>134288363</v>
      </c>
      <c r="K21" s="134">
        <v>46181</v>
      </c>
      <c r="L21" s="134">
        <v>46182</v>
      </c>
      <c r="M21" s="127"/>
      <c r="N21" s="53" t="s">
        <v>293</v>
      </c>
      <c r="O21" s="53" t="str">
        <f t="shared" ref="O21" ca="1" si="7">IF(N21="Selesai","AMAN",IF(L21-TODAY()&lt;=3,"SEGERA DIPROSES",IF(TODAY()&gt;L21,"LEWAT DEADLINE","AMAN")))</f>
        <v>AMAN</v>
      </c>
      <c r="P21" s="118">
        <v>203</v>
      </c>
      <c r="Q21" s="53" t="s">
        <v>269</v>
      </c>
      <c r="R21" s="117">
        <v>46182</v>
      </c>
    </row>
    <row r="22" spans="2:18">
      <c r="B22" s="78">
        <v>18</v>
      </c>
      <c r="C22" s="56" t="s">
        <v>320</v>
      </c>
      <c r="D22" s="124" t="s">
        <v>21</v>
      </c>
      <c r="E22" s="135"/>
      <c r="F22" s="57"/>
      <c r="G22" s="57"/>
      <c r="H22" s="57"/>
      <c r="I22" s="135"/>
      <c r="J22" s="58">
        <v>3402266</v>
      </c>
      <c r="K22" s="134">
        <v>46181</v>
      </c>
      <c r="L22" s="134">
        <v>46182</v>
      </c>
      <c r="M22" s="127"/>
      <c r="N22" s="53" t="s">
        <v>293</v>
      </c>
      <c r="O22" s="53" t="str">
        <f t="shared" ref="O22" ca="1" si="8">IF(N22="Selesai","AMAN",IF(L22-TODAY()&lt;=3,"SEGERA DIPROSES",IF(TODAY()&gt;L22,"LEWAT DEADLINE","AMAN")))</f>
        <v>AMAN</v>
      </c>
      <c r="P22" s="118">
        <v>204</v>
      </c>
      <c r="Q22" s="53" t="s">
        <v>269</v>
      </c>
      <c r="R22" s="117">
        <v>46182</v>
      </c>
    </row>
    <row r="23" spans="2:18">
      <c r="B23" s="78">
        <v>19</v>
      </c>
      <c r="C23" s="56" t="s">
        <v>326</v>
      </c>
      <c r="D23" s="125" t="s">
        <v>23</v>
      </c>
      <c r="E23" s="135"/>
      <c r="F23" s="57"/>
      <c r="G23" s="57"/>
      <c r="H23" s="57"/>
      <c r="I23" s="135"/>
      <c r="J23" s="58">
        <v>13500000</v>
      </c>
      <c r="K23" s="134">
        <v>46181</v>
      </c>
      <c r="L23" s="134">
        <v>46182</v>
      </c>
      <c r="M23" s="127"/>
      <c r="N23" s="53" t="s">
        <v>293</v>
      </c>
      <c r="O23" s="53" t="str">
        <f t="shared" ref="O23" ca="1" si="9">IF(N23="Selesai","AMAN",IF(L23-TODAY()&lt;=3,"SEGERA DIPROSES",IF(TODAY()&gt;L23,"LEWAT DEADLINE","AMAN")))</f>
        <v>AMAN</v>
      </c>
      <c r="P23" s="118">
        <v>205</v>
      </c>
      <c r="Q23" s="53" t="s">
        <v>269</v>
      </c>
      <c r="R23" s="117">
        <v>46183</v>
      </c>
    </row>
    <row r="24" spans="2:18">
      <c r="B24" s="78">
        <v>20</v>
      </c>
      <c r="C24" s="56" t="s">
        <v>321</v>
      </c>
      <c r="D24" s="125" t="s">
        <v>273</v>
      </c>
      <c r="E24" s="135"/>
      <c r="F24" s="57"/>
      <c r="G24" s="57"/>
      <c r="H24" s="57"/>
      <c r="I24" s="135"/>
      <c r="J24" s="58">
        <v>7710000</v>
      </c>
      <c r="K24" s="134">
        <v>46181</v>
      </c>
      <c r="L24" s="134">
        <v>46182</v>
      </c>
      <c r="M24" s="127"/>
      <c r="N24" s="53" t="s">
        <v>293</v>
      </c>
      <c r="O24" s="53" t="str">
        <f t="shared" ref="O24" ca="1" si="10">IF(N24="Selesai","AMAN",IF(L24-TODAY()&lt;=3,"SEGERA DIPROSES",IF(TODAY()&gt;L24,"LEWAT DEADLINE","AMAN")))</f>
        <v>AMAN</v>
      </c>
      <c r="P24" s="118">
        <v>206</v>
      </c>
      <c r="Q24" s="53" t="s">
        <v>269</v>
      </c>
      <c r="R24" s="117">
        <v>46183</v>
      </c>
    </row>
    <row r="25" spans="2:18">
      <c r="B25" s="78">
        <v>21</v>
      </c>
      <c r="C25" s="56" t="s">
        <v>322</v>
      </c>
      <c r="D25" s="125" t="s">
        <v>21</v>
      </c>
      <c r="E25" s="135"/>
      <c r="F25" s="57"/>
      <c r="G25" s="57"/>
      <c r="H25" s="57"/>
      <c r="I25" s="135"/>
      <c r="J25" s="58">
        <v>166207991</v>
      </c>
      <c r="K25" s="135">
        <v>46183</v>
      </c>
      <c r="L25" s="134">
        <v>46183</v>
      </c>
      <c r="M25" s="125"/>
      <c r="N25" s="53" t="s">
        <v>293</v>
      </c>
      <c r="O25" s="53" t="str">
        <f t="shared" ref="O25" ca="1" si="11">IF(N25="Selesai","AMAN",IF(L25-TODAY()&lt;=3,"SEGERA DIPROSES",IF(TODAY()&gt;L25,"LEWAT DEADLINE","AMAN")))</f>
        <v>AMAN</v>
      </c>
      <c r="P25" s="118">
        <v>208</v>
      </c>
      <c r="Q25" s="53" t="s">
        <v>269</v>
      </c>
      <c r="R25" s="117">
        <v>46184</v>
      </c>
    </row>
    <row r="26" spans="2:18">
      <c r="B26" s="78">
        <v>22</v>
      </c>
      <c r="C26" s="56" t="s">
        <v>323</v>
      </c>
      <c r="D26" s="125" t="s">
        <v>21</v>
      </c>
      <c r="E26" s="135"/>
      <c r="F26" s="57"/>
      <c r="G26" s="57"/>
      <c r="H26" s="57"/>
      <c r="I26" s="135"/>
      <c r="J26" s="58">
        <v>114108630</v>
      </c>
      <c r="K26" s="135">
        <v>46183</v>
      </c>
      <c r="L26" s="134">
        <v>46183</v>
      </c>
      <c r="M26" s="125"/>
      <c r="N26" s="53" t="s">
        <v>293</v>
      </c>
      <c r="O26" s="53" t="str">
        <f t="shared" ref="O26" ca="1" si="12">IF(N26="Selesai","AMAN",IF(L26-TODAY()&lt;=3,"SEGERA DIPROSES",IF(TODAY()&gt;L26,"LEWAT DEADLINE","AMAN")))</f>
        <v>AMAN</v>
      </c>
      <c r="P26" s="118">
        <v>209</v>
      </c>
      <c r="Q26" s="53" t="s">
        <v>269</v>
      </c>
      <c r="R26" s="117">
        <v>46184</v>
      </c>
    </row>
    <row r="27" spans="2:18">
      <c r="B27" s="78">
        <v>23</v>
      </c>
      <c r="C27" s="56" t="s">
        <v>324</v>
      </c>
      <c r="D27" s="125" t="s">
        <v>21</v>
      </c>
      <c r="E27" s="135"/>
      <c r="F27" s="57"/>
      <c r="G27" s="57"/>
      <c r="H27" s="57"/>
      <c r="I27" s="135"/>
      <c r="J27" s="58">
        <v>26462000</v>
      </c>
      <c r="K27" s="135">
        <v>46183</v>
      </c>
      <c r="L27" s="134">
        <v>46183</v>
      </c>
      <c r="M27" s="125"/>
      <c r="N27" s="53" t="s">
        <v>293</v>
      </c>
      <c r="O27" s="53" t="str">
        <f t="shared" ref="O27" ca="1" si="13">IF(N27="Selesai","AMAN",IF(L27-TODAY()&lt;=3,"SEGERA DIPROSES",IF(TODAY()&gt;L27,"LEWAT DEADLINE","AMAN")))</f>
        <v>AMAN</v>
      </c>
      <c r="P27" s="118">
        <v>210</v>
      </c>
      <c r="Q27" s="53" t="s">
        <v>269</v>
      </c>
      <c r="R27" s="117">
        <v>46184</v>
      </c>
    </row>
    <row r="28" spans="2:18">
      <c r="B28" s="78">
        <v>24</v>
      </c>
      <c r="C28" s="56" t="s">
        <v>325</v>
      </c>
      <c r="D28" s="125" t="s">
        <v>273</v>
      </c>
      <c r="E28" s="135"/>
      <c r="F28" s="57"/>
      <c r="G28" s="57"/>
      <c r="H28" s="57"/>
      <c r="I28" s="135"/>
      <c r="J28" s="58">
        <v>18499740</v>
      </c>
      <c r="K28" s="135">
        <v>46183</v>
      </c>
      <c r="L28" s="134">
        <v>46183</v>
      </c>
      <c r="M28" s="125"/>
      <c r="N28" s="53" t="s">
        <v>293</v>
      </c>
      <c r="O28" s="53" t="str">
        <f t="shared" ref="O28" ca="1" si="14">IF(N28="Selesai","AMAN",IF(L28-TODAY()&lt;=3,"SEGERA DIPROSES",IF(TODAY()&gt;L28,"LEWAT DEADLINE","AMAN")))</f>
        <v>AMAN</v>
      </c>
      <c r="P28" s="118">
        <v>214</v>
      </c>
      <c r="Q28" s="57" t="s">
        <v>267</v>
      </c>
      <c r="R28" s="120">
        <v>46191</v>
      </c>
    </row>
    <row r="29" spans="2:18">
      <c r="B29" s="79"/>
      <c r="C29" s="56"/>
      <c r="D29" s="125"/>
      <c r="E29" s="135"/>
      <c r="F29" s="57"/>
      <c r="G29" s="57"/>
      <c r="H29" s="57"/>
      <c r="I29" s="135"/>
      <c r="J29" s="58"/>
      <c r="K29" s="135"/>
      <c r="L29" s="57"/>
      <c r="M29" s="125"/>
      <c r="N29" s="57"/>
      <c r="O29" s="53" t="str">
        <f t="shared" ca="1" si="3"/>
        <v>SEGERA DIPROSES</v>
      </c>
      <c r="P29" s="57"/>
      <c r="Q29" s="57"/>
      <c r="R29" s="80"/>
    </row>
    <row r="30" spans="2:18">
      <c r="B30" s="79"/>
      <c r="C30" s="56"/>
      <c r="D30" s="125"/>
      <c r="E30" s="135"/>
      <c r="F30" s="57"/>
      <c r="G30" s="57"/>
      <c r="H30" s="57"/>
      <c r="I30" s="135"/>
      <c r="J30" s="58"/>
      <c r="K30" s="135"/>
      <c r="L30" s="57"/>
      <c r="M30" s="125"/>
      <c r="N30" s="57"/>
      <c r="O30" s="53" t="str">
        <f t="shared" ca="1" si="3"/>
        <v>SEGERA DIPROSES</v>
      </c>
      <c r="P30" s="57"/>
      <c r="Q30" s="57"/>
      <c r="R30" s="80"/>
    </row>
    <row r="31" spans="2:18">
      <c r="B31" s="79"/>
      <c r="C31" s="56"/>
      <c r="D31" s="125"/>
      <c r="E31" s="135"/>
      <c r="F31" s="57"/>
      <c r="G31" s="57"/>
      <c r="H31" s="57"/>
      <c r="I31" s="135"/>
      <c r="J31" s="58"/>
      <c r="K31" s="135"/>
      <c r="L31" s="57"/>
      <c r="M31" s="125"/>
      <c r="N31" s="57"/>
      <c r="O31" s="53" t="str">
        <f t="shared" ca="1" si="3"/>
        <v>SEGERA DIPROSES</v>
      </c>
      <c r="P31" s="57"/>
      <c r="Q31" s="57"/>
      <c r="R31" s="80"/>
    </row>
    <row r="32" spans="2:18">
      <c r="B32" s="79"/>
      <c r="C32" s="56"/>
      <c r="D32" s="125"/>
      <c r="E32" s="135"/>
      <c r="F32" s="57"/>
      <c r="G32" s="57"/>
      <c r="H32" s="57"/>
      <c r="I32" s="135"/>
      <c r="J32" s="58"/>
      <c r="K32" s="135"/>
      <c r="L32" s="57"/>
      <c r="M32" s="125"/>
      <c r="N32" s="57"/>
      <c r="O32" s="53" t="str">
        <f t="shared" ca="1" si="3"/>
        <v>SEGERA DIPROSES</v>
      </c>
      <c r="P32" s="57"/>
      <c r="Q32" s="57"/>
      <c r="R32" s="80"/>
    </row>
    <row r="33" spans="2:18">
      <c r="B33" s="79"/>
      <c r="C33" s="56"/>
      <c r="D33" s="125"/>
      <c r="E33" s="135"/>
      <c r="F33" s="57"/>
      <c r="G33" s="57"/>
      <c r="H33" s="57"/>
      <c r="I33" s="135"/>
      <c r="J33" s="58"/>
      <c r="K33" s="135"/>
      <c r="L33" s="57"/>
      <c r="M33" s="125"/>
      <c r="N33" s="57"/>
      <c r="O33" s="53" t="str">
        <f t="shared" ca="1" si="3"/>
        <v>SEGERA DIPROSES</v>
      </c>
      <c r="P33" s="57"/>
      <c r="Q33" s="57"/>
      <c r="R33" s="80"/>
    </row>
    <row r="34" spans="2:18">
      <c r="B34" s="79"/>
      <c r="C34" s="56"/>
      <c r="D34" s="125"/>
      <c r="E34" s="135"/>
      <c r="F34" s="57"/>
      <c r="G34" s="57"/>
      <c r="H34" s="57"/>
      <c r="I34" s="135"/>
      <c r="J34" s="58"/>
      <c r="K34" s="135"/>
      <c r="L34" s="57"/>
      <c r="M34" s="125"/>
      <c r="N34" s="57"/>
      <c r="O34" s="53" t="str">
        <f t="shared" ca="1" si="3"/>
        <v>SEGERA DIPROSES</v>
      </c>
      <c r="P34" s="57"/>
      <c r="Q34" s="57"/>
      <c r="R34" s="80"/>
    </row>
    <row r="35" spans="2:18">
      <c r="B35" s="79"/>
      <c r="C35" s="56"/>
      <c r="D35" s="125"/>
      <c r="E35" s="135"/>
      <c r="F35" s="57"/>
      <c r="G35" s="57"/>
      <c r="H35" s="57"/>
      <c r="I35" s="135"/>
      <c r="J35" s="58"/>
      <c r="K35" s="135"/>
      <c r="L35" s="57"/>
      <c r="M35" s="125"/>
      <c r="N35" s="57"/>
      <c r="O35" s="53" t="str">
        <f t="shared" ca="1" si="3"/>
        <v>SEGERA DIPROSES</v>
      </c>
      <c r="P35" s="57"/>
      <c r="Q35" s="57"/>
      <c r="R35" s="80"/>
    </row>
    <row r="36" spans="2:18">
      <c r="B36" s="79"/>
      <c r="C36" s="56"/>
      <c r="D36" s="125"/>
      <c r="E36" s="135"/>
      <c r="F36" s="57"/>
      <c r="G36" s="57"/>
      <c r="H36" s="57"/>
      <c r="I36" s="135"/>
      <c r="J36" s="58"/>
      <c r="K36" s="135"/>
      <c r="L36" s="57"/>
      <c r="M36" s="125"/>
      <c r="N36" s="57"/>
      <c r="O36" s="53" t="str">
        <f t="shared" ca="1" si="3"/>
        <v>SEGERA DIPROSES</v>
      </c>
      <c r="P36" s="57"/>
      <c r="Q36" s="57"/>
      <c r="R36" s="80"/>
    </row>
    <row r="37" spans="2:18">
      <c r="B37" s="79"/>
      <c r="C37" s="56"/>
      <c r="D37" s="125"/>
      <c r="E37" s="135"/>
      <c r="F37" s="57"/>
      <c r="G37" s="57"/>
      <c r="H37" s="57"/>
      <c r="I37" s="135"/>
      <c r="J37" s="58"/>
      <c r="K37" s="135"/>
      <c r="L37" s="57"/>
      <c r="M37" s="125"/>
      <c r="N37" s="57"/>
      <c r="O37" s="53" t="str">
        <f t="shared" ca="1" si="3"/>
        <v>SEGERA DIPROSES</v>
      </c>
      <c r="P37" s="57"/>
      <c r="Q37" s="57"/>
      <c r="R37" s="80"/>
    </row>
    <row r="38" spans="2:18">
      <c r="B38" s="79"/>
      <c r="C38" s="56"/>
      <c r="D38" s="125"/>
      <c r="E38" s="135"/>
      <c r="F38" s="57"/>
      <c r="G38" s="57"/>
      <c r="H38" s="57"/>
      <c r="I38" s="135"/>
      <c r="J38" s="58"/>
      <c r="K38" s="135"/>
      <c r="L38" s="57"/>
      <c r="M38" s="125"/>
      <c r="N38" s="57"/>
      <c r="O38" s="53" t="str">
        <f t="shared" ca="1" si="3"/>
        <v>SEGERA DIPROSES</v>
      </c>
      <c r="P38" s="57"/>
      <c r="Q38" s="57"/>
      <c r="R38" s="80"/>
    </row>
    <row r="39" spans="2:18">
      <c r="B39" s="79"/>
      <c r="C39" s="56"/>
      <c r="D39" s="125"/>
      <c r="E39" s="135"/>
      <c r="F39" s="57"/>
      <c r="G39" s="57"/>
      <c r="H39" s="57"/>
      <c r="I39" s="135"/>
      <c r="J39" s="58"/>
      <c r="K39" s="135"/>
      <c r="L39" s="57"/>
      <c r="M39" s="125"/>
      <c r="N39" s="57"/>
      <c r="O39" s="53" t="str">
        <f t="shared" ca="1" si="3"/>
        <v>SEGERA DIPROSES</v>
      </c>
      <c r="P39" s="57"/>
      <c r="Q39" s="57"/>
      <c r="R39" s="80"/>
    </row>
    <row r="40" spans="2:18">
      <c r="B40" s="79"/>
      <c r="C40" s="56"/>
      <c r="D40" s="125"/>
      <c r="E40" s="135"/>
      <c r="F40" s="57"/>
      <c r="G40" s="57"/>
      <c r="H40" s="57"/>
      <c r="I40" s="135"/>
      <c r="J40" s="58"/>
      <c r="K40" s="135"/>
      <c r="L40" s="57"/>
      <c r="M40" s="125"/>
      <c r="N40" s="57"/>
      <c r="O40" s="53" t="str">
        <f t="shared" ca="1" si="3"/>
        <v>SEGERA DIPROSES</v>
      </c>
      <c r="P40" s="57"/>
      <c r="Q40" s="57"/>
      <c r="R40" s="80"/>
    </row>
    <row r="41" spans="2:18">
      <c r="B41" s="79"/>
      <c r="C41" s="56"/>
      <c r="D41" s="125"/>
      <c r="E41" s="135"/>
      <c r="F41" s="57"/>
      <c r="G41" s="57"/>
      <c r="H41" s="57"/>
      <c r="I41" s="135"/>
      <c r="J41" s="58"/>
      <c r="K41" s="135"/>
      <c r="L41" s="57"/>
      <c r="M41" s="125"/>
      <c r="N41" s="57"/>
      <c r="O41" s="53" t="str">
        <f t="shared" ca="1" si="3"/>
        <v>SEGERA DIPROSES</v>
      </c>
      <c r="P41" s="57"/>
      <c r="Q41" s="57"/>
      <c r="R41" s="80"/>
    </row>
    <row r="42" spans="2:18">
      <c r="B42" s="79"/>
      <c r="C42" s="56"/>
      <c r="D42" s="125"/>
      <c r="E42" s="135"/>
      <c r="F42" s="57"/>
      <c r="G42" s="57"/>
      <c r="H42" s="57"/>
      <c r="I42" s="135"/>
      <c r="J42" s="58"/>
      <c r="K42" s="135"/>
      <c r="L42" s="57"/>
      <c r="M42" s="125"/>
      <c r="N42" s="57"/>
      <c r="O42" s="53" t="str">
        <f t="shared" ca="1" si="3"/>
        <v>SEGERA DIPROSES</v>
      </c>
      <c r="P42" s="57"/>
      <c r="Q42" s="57"/>
      <c r="R42" s="80"/>
    </row>
    <row r="43" spans="2:18">
      <c r="B43" s="79"/>
      <c r="C43" s="56"/>
      <c r="D43" s="125"/>
      <c r="E43" s="135"/>
      <c r="F43" s="57"/>
      <c r="G43" s="57"/>
      <c r="H43" s="57"/>
      <c r="I43" s="135"/>
      <c r="J43" s="58"/>
      <c r="K43" s="135"/>
      <c r="L43" s="57"/>
      <c r="M43" s="125"/>
      <c r="N43" s="57"/>
      <c r="O43" s="53" t="str">
        <f t="shared" ca="1" si="3"/>
        <v>SEGERA DIPROSES</v>
      </c>
      <c r="P43" s="57"/>
      <c r="Q43" s="57"/>
      <c r="R43" s="80"/>
    </row>
    <row r="44" spans="2:18">
      <c r="B44" s="79"/>
      <c r="C44" s="56"/>
      <c r="D44" s="125"/>
      <c r="E44" s="135"/>
      <c r="F44" s="57"/>
      <c r="G44" s="57"/>
      <c r="H44" s="57"/>
      <c r="I44" s="135"/>
      <c r="J44" s="58"/>
      <c r="K44" s="135"/>
      <c r="L44" s="57"/>
      <c r="M44" s="125"/>
      <c r="N44" s="57"/>
      <c r="O44" s="57"/>
      <c r="P44" s="57"/>
      <c r="Q44" s="57"/>
      <c r="R44" s="80"/>
    </row>
    <row r="45" spans="2:18">
      <c r="B45" s="81"/>
      <c r="C45" s="82" t="s">
        <v>272</v>
      </c>
      <c r="D45" s="83"/>
      <c r="E45" s="137"/>
      <c r="F45" s="83"/>
      <c r="G45" s="83"/>
      <c r="H45" s="83"/>
      <c r="I45" s="137"/>
      <c r="J45" s="84">
        <f>SUM(J5:J44)</f>
        <v>1302147266</v>
      </c>
      <c r="K45" s="137"/>
      <c r="L45" s="83"/>
      <c r="M45" s="128"/>
      <c r="N45" s="82"/>
      <c r="O45" s="83"/>
      <c r="P45" s="83"/>
      <c r="Q45" s="83"/>
      <c r="R45" s="85"/>
    </row>
    <row r="47" spans="2:18">
      <c r="C47" s="64" t="s">
        <v>18</v>
      </c>
      <c r="D47" s="70"/>
      <c r="E47" s="70"/>
      <c r="G47" s="64" t="s">
        <v>19</v>
      </c>
      <c r="H47" s="70"/>
      <c r="I47" s="70"/>
      <c r="K47" s="166" t="s">
        <v>20</v>
      </c>
      <c r="L47" s="70"/>
      <c r="M47" s="129"/>
    </row>
    <row r="48" spans="2:18">
      <c r="C48" t="s">
        <v>21</v>
      </c>
      <c r="E48" s="69">
        <f>SUMIF(D:D,C48,J:J)</f>
        <v>1100222526</v>
      </c>
      <c r="G48" t="s">
        <v>273</v>
      </c>
      <c r="I48" s="69">
        <f>SUMIF(D:D,G48,J:J)</f>
        <v>26209740</v>
      </c>
      <c r="K48" s="32" t="s">
        <v>22</v>
      </c>
      <c r="M48" s="130">
        <f t="shared" ref="M48:M53" si="15">SUMIF(D:D,K48,J:J)</f>
        <v>0</v>
      </c>
    </row>
    <row r="49" spans="3:15">
      <c r="E49" s="69"/>
      <c r="F49" s="69"/>
      <c r="G49"/>
      <c r="I49" s="69"/>
      <c r="K49" s="32" t="s">
        <v>23</v>
      </c>
      <c r="M49" s="130">
        <f t="shared" si="15"/>
        <v>58400000</v>
      </c>
    </row>
    <row r="50" spans="3:15">
      <c r="E50" s="69"/>
      <c r="F50" s="69"/>
      <c r="I50" s="69"/>
      <c r="K50" s="32" t="s">
        <v>17</v>
      </c>
      <c r="M50" s="130">
        <f t="shared" si="15"/>
        <v>58887000</v>
      </c>
    </row>
    <row r="51" spans="3:15">
      <c r="E51" s="69"/>
      <c r="F51" s="69"/>
      <c r="I51" s="69"/>
      <c r="K51" s="32" t="s">
        <v>24</v>
      </c>
      <c r="M51" s="130">
        <f t="shared" si="15"/>
        <v>0</v>
      </c>
    </row>
    <row r="52" spans="3:15">
      <c r="E52" s="69"/>
      <c r="F52" s="69"/>
      <c r="I52" s="69"/>
      <c r="K52" s="32" t="s">
        <v>25</v>
      </c>
      <c r="M52" s="130">
        <f t="shared" si="15"/>
        <v>58428000</v>
      </c>
    </row>
    <row r="53" spans="3:15">
      <c r="E53" s="69"/>
      <c r="F53" s="69"/>
      <c r="I53" s="69"/>
      <c r="K53" s="32" t="s">
        <v>26</v>
      </c>
      <c r="M53" s="130">
        <f t="shared" si="15"/>
        <v>0</v>
      </c>
    </row>
    <row r="54" spans="3:15">
      <c r="C54" s="71" t="s">
        <v>27</v>
      </c>
      <c r="D54" s="71"/>
      <c r="E54" s="72">
        <f>SUM(E48:E53)</f>
        <v>1100222526</v>
      </c>
      <c r="F54" s="86"/>
      <c r="G54" s="71" t="s">
        <v>27</v>
      </c>
      <c r="H54" s="71"/>
      <c r="I54" s="72">
        <f>SUM(I48:I53)</f>
        <v>26209740</v>
      </c>
      <c r="K54" s="71" t="s">
        <v>27</v>
      </c>
      <c r="L54" s="71"/>
      <c r="M54" s="131">
        <f>SUM(M48:M53)</f>
        <v>175715000</v>
      </c>
      <c r="O54" s="72">
        <f>SUM(E54+I54+M54+O53)</f>
        <v>1302147266</v>
      </c>
    </row>
    <row r="55" spans="3:15">
      <c r="M55" s="243">
        <f>M54+I54</f>
        <v>201924740</v>
      </c>
    </row>
  </sheetData>
  <mergeCells count="1">
    <mergeCell ref="B2:H2"/>
  </mergeCells>
  <phoneticPr fontId="30" type="noConversion"/>
  <conditionalFormatting sqref="O5:O44">
    <cfRule type="containsText" dxfId="7" priority="1" operator="containsText" text="LEWAT DEADLINE">
      <formula>NOT(ISERROR(SEARCH("LEWAT DEADLINE",O5)))</formula>
    </cfRule>
    <cfRule type="containsText" dxfId="6" priority="2" operator="containsText" text="SEGERA DIPROSES">
      <formula>NOT(ISERROR(SEARCH("SEGERA DIPROSES",O5)))</formula>
    </cfRule>
    <cfRule type="containsText" dxfId="5" priority="3" operator="containsText" text="AMAN">
      <formula>NOT(ISERROR(SEARCH("AMAN",O5)))</formula>
    </cfRule>
  </conditionalFormatting>
  <pageMargins left="0.7" right="0.7" top="0.75" bottom="0.75" header="0.3" footer="0.3"/>
  <pageSetup orientation="portrait"/>
  <ignoredErrors>
    <ignoredError sqref="F38:F44 H38:H44 P38:P44 P5:P16 H15:H25 F11:F25 P29 H29 F2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37108C-D592-48CB-BD73-0332F2FACACD}">
          <x14:formula1>
            <xm:f>Master_Data!$J$3:$J$6</xm:f>
          </x14:formula1>
          <xm:sqref>M5:M44</xm:sqref>
        </x14:dataValidation>
        <x14:dataValidation type="list" allowBlank="1" showInputMessage="1" showErrorMessage="1" xr:uid="{A0AA4323-A904-4F96-8A28-CED15FA9264D}">
          <x14:formula1>
            <xm:f>Master_Data!$F$3:$F$6</xm:f>
          </x14:formula1>
          <xm:sqref>N5:N44</xm:sqref>
        </x14:dataValidation>
        <x14:dataValidation type="list" allowBlank="1" showInputMessage="1" showErrorMessage="1" xr:uid="{375CA8A9-799A-4962-BF6F-2A7C57315A47}">
          <x14:formula1>
            <xm:f>Master_Data!$H$3:$H$4</xm:f>
          </x14:formula1>
          <xm:sqref>Q5:Q44</xm:sqref>
        </x14:dataValidation>
        <x14:dataValidation type="list" allowBlank="1" showInputMessage="1" showErrorMessage="1" xr:uid="{24DE9A31-2A50-4C17-AB2C-00BABBC4E8B1}">
          <x14:formula1>
            <xm:f>Master_Data!$B$3:$B$10</xm:f>
          </x14:formula1>
          <xm:sqref>D5:D44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P67"/>
  <sheetViews>
    <sheetView zoomScaleNormal="100" workbookViewId="0">
      <pane xSplit="13" ySplit="4" topLeftCell="N37" activePane="bottomRight" state="frozen"/>
      <selection pane="topRight" activeCell="N1" sqref="N1"/>
      <selection pane="bottomLeft" activeCell="A5" sqref="A5"/>
      <selection pane="bottomRight" activeCell="Q3" sqref="Q3"/>
    </sheetView>
  </sheetViews>
  <sheetFormatPr defaultRowHeight="15"/>
  <cols>
    <col min="1" max="1" width="3.42578125" customWidth="1"/>
    <col min="2" max="2" width="7.7109375" style="1" customWidth="1"/>
    <col min="3" max="3" width="9.85546875" style="1" customWidth="1"/>
    <col min="4" max="4" width="13.42578125" style="1" customWidth="1"/>
    <col min="5" max="5" width="5.42578125" style="1" customWidth="1"/>
    <col min="6" max="6" width="61.140625" customWidth="1"/>
    <col min="7" max="7" width="12.7109375" style="1" customWidth="1"/>
    <col min="8" max="8" width="14.85546875" style="1" customWidth="1"/>
    <col min="9" max="9" width="14.85546875" style="31" customWidth="1"/>
    <col min="10" max="10" width="18" style="138" customWidth="1"/>
    <col min="11" max="11" width="15.28515625" style="1" customWidth="1"/>
    <col min="12" max="12" width="14.28515625" style="1" customWidth="1"/>
    <col min="13" max="13" width="13.7109375" style="1" customWidth="1"/>
    <col min="15" max="15" width="12" hidden="1" customWidth="1"/>
    <col min="16" max="16" width="13.5703125" hidden="1" customWidth="1"/>
  </cols>
  <sheetData>
    <row r="2" spans="2:16" s="32" customFormat="1" ht="18">
      <c r="B2" s="41" t="s">
        <v>327</v>
      </c>
      <c r="C2" s="1"/>
      <c r="D2" s="41"/>
      <c r="E2" s="41"/>
      <c r="F2" s="41"/>
      <c r="G2" s="41"/>
      <c r="H2" s="147"/>
      <c r="I2" s="37"/>
      <c r="J2" s="138"/>
      <c r="K2" s="1"/>
      <c r="L2" s="1"/>
      <c r="M2" s="40" t="s">
        <v>0</v>
      </c>
    </row>
    <row r="3" spans="2:16" s="32" customFormat="1" ht="5.25" customHeight="1">
      <c r="B3" s="43"/>
      <c r="C3" s="1"/>
      <c r="D3" s="43"/>
      <c r="E3" s="43"/>
      <c r="F3" s="42"/>
      <c r="G3" s="42"/>
      <c r="H3" s="148"/>
      <c r="I3" s="37"/>
      <c r="J3" s="138"/>
      <c r="K3" s="1"/>
      <c r="L3" s="1"/>
    </row>
    <row r="4" spans="2:16" s="1" customFormat="1" ht="30">
      <c r="B4" s="44" t="s">
        <v>346</v>
      </c>
      <c r="C4" s="44" t="s">
        <v>14</v>
      </c>
      <c r="D4" s="44" t="s">
        <v>27</v>
      </c>
      <c r="E4" s="44" t="s">
        <v>347</v>
      </c>
      <c r="F4" s="44" t="s">
        <v>2</v>
      </c>
      <c r="G4" s="44" t="s">
        <v>261</v>
      </c>
      <c r="H4" s="44" t="s">
        <v>329</v>
      </c>
      <c r="I4" s="46" t="s">
        <v>330</v>
      </c>
      <c r="J4" s="45" t="s">
        <v>331</v>
      </c>
      <c r="K4" s="44" t="s">
        <v>10</v>
      </c>
      <c r="L4" s="44" t="s">
        <v>12</v>
      </c>
      <c r="M4" s="44" t="s">
        <v>13</v>
      </c>
    </row>
    <row r="5" spans="2:16">
      <c r="B5" s="47" t="s">
        <v>348</v>
      </c>
      <c r="C5" s="156">
        <v>198</v>
      </c>
      <c r="D5" s="164">
        <f>SUM(I5:I38)</f>
        <v>201963865</v>
      </c>
      <c r="E5" s="160">
        <v>1</v>
      </c>
      <c r="F5" s="48" t="s">
        <v>328</v>
      </c>
      <c r="G5" s="150" t="s">
        <v>17</v>
      </c>
      <c r="H5" s="153">
        <f t="shared" ref="H5:H36" si="0">SUMIF(O:O,G5,P:P)</f>
        <v>6279</v>
      </c>
      <c r="I5" s="76">
        <f>7200000+3600000+2400000+3300000</f>
        <v>16500000</v>
      </c>
      <c r="J5" s="139">
        <v>46174</v>
      </c>
      <c r="K5" s="139">
        <f>J5+3</f>
        <v>46177</v>
      </c>
      <c r="L5" s="49" t="s">
        <v>293</v>
      </c>
      <c r="M5" s="50" t="str">
        <f ca="1">IF(L5="Selesai","AMAN",IF(K5-TODAY()&lt;=3,"SEGERA DIPROSES",IF(TODAY()&gt;K5,"LEWAT DEADLINE","AMAN")))</f>
        <v>AMAN</v>
      </c>
      <c r="O5" t="s">
        <v>22</v>
      </c>
      <c r="P5" s="1">
        <v>6277</v>
      </c>
    </row>
    <row r="6" spans="2:16">
      <c r="B6" s="51"/>
      <c r="C6" s="157"/>
      <c r="D6" s="161"/>
      <c r="E6" s="161">
        <v>2</v>
      </c>
      <c r="F6" s="121" t="s">
        <v>314</v>
      </c>
      <c r="G6" s="151" t="s">
        <v>22</v>
      </c>
      <c r="H6" s="154">
        <f t="shared" si="0"/>
        <v>6277</v>
      </c>
      <c r="I6" s="122">
        <v>13670000</v>
      </c>
      <c r="J6" s="134">
        <v>46174</v>
      </c>
      <c r="K6" s="134">
        <f>J6+3</f>
        <v>46177</v>
      </c>
      <c r="L6" s="53" t="s">
        <v>293</v>
      </c>
      <c r="M6" s="149" t="str">
        <f t="shared" ref="M6:M39" ca="1" si="1">IF(L5="Selesai","AMAN",IF(K6-TODAY()&lt;=3,"SEGERA DIPROSES",IF(TODAY()&gt;K6,"LEWAT DEADLINE","AMAN")))</f>
        <v>AMAN</v>
      </c>
      <c r="O6" t="s">
        <v>23</v>
      </c>
      <c r="P6" s="1">
        <v>6278</v>
      </c>
    </row>
    <row r="7" spans="2:16">
      <c r="B7" s="51"/>
      <c r="C7" s="157"/>
      <c r="D7" s="161"/>
      <c r="E7" s="161">
        <v>3</v>
      </c>
      <c r="F7" s="121" t="s">
        <v>314</v>
      </c>
      <c r="G7" s="151" t="s">
        <v>23</v>
      </c>
      <c r="H7" s="154">
        <f t="shared" si="0"/>
        <v>6278</v>
      </c>
      <c r="I7" s="122">
        <v>7140000</v>
      </c>
      <c r="J7" s="134">
        <v>46174</v>
      </c>
      <c r="K7" s="134">
        <f t="shared" ref="K7:K39" si="2">J7+3</f>
        <v>46177</v>
      </c>
      <c r="L7" s="53" t="s">
        <v>293</v>
      </c>
      <c r="M7" s="149" t="str">
        <f t="shared" ca="1" si="1"/>
        <v>AMAN</v>
      </c>
      <c r="O7" t="s">
        <v>17</v>
      </c>
      <c r="P7" s="1">
        <v>6279</v>
      </c>
    </row>
    <row r="8" spans="2:16">
      <c r="B8" s="51"/>
      <c r="C8" s="157"/>
      <c r="D8" s="161"/>
      <c r="E8" s="161">
        <v>4</v>
      </c>
      <c r="F8" s="121" t="s">
        <v>314</v>
      </c>
      <c r="G8" s="151" t="s">
        <v>17</v>
      </c>
      <c r="H8" s="154">
        <f t="shared" si="0"/>
        <v>6279</v>
      </c>
      <c r="I8" s="122">
        <v>5250000</v>
      </c>
      <c r="J8" s="134">
        <v>46174</v>
      </c>
      <c r="K8" s="134">
        <f t="shared" si="2"/>
        <v>46177</v>
      </c>
      <c r="L8" s="53" t="s">
        <v>293</v>
      </c>
      <c r="M8" s="149" t="str">
        <f t="shared" ca="1" si="1"/>
        <v>AMAN</v>
      </c>
      <c r="O8" t="s">
        <v>24</v>
      </c>
      <c r="P8" s="1">
        <v>6280</v>
      </c>
    </row>
    <row r="9" spans="2:16">
      <c r="B9" s="51"/>
      <c r="C9" s="157"/>
      <c r="D9" s="161"/>
      <c r="E9" s="161">
        <v>5</v>
      </c>
      <c r="F9" s="121" t="s">
        <v>314</v>
      </c>
      <c r="G9" s="151" t="s">
        <v>24</v>
      </c>
      <c r="H9" s="154">
        <f t="shared" si="0"/>
        <v>6280</v>
      </c>
      <c r="I9" s="122">
        <v>10630000</v>
      </c>
      <c r="J9" s="134">
        <v>46174</v>
      </c>
      <c r="K9" s="134">
        <f t="shared" si="2"/>
        <v>46177</v>
      </c>
      <c r="L9" s="53" t="s">
        <v>293</v>
      </c>
      <c r="M9" s="149" t="str">
        <f t="shared" ca="1" si="1"/>
        <v>AMAN</v>
      </c>
      <c r="O9" t="s">
        <v>25</v>
      </c>
      <c r="P9" s="1">
        <v>7992.1009999999997</v>
      </c>
    </row>
    <row r="10" spans="2:16">
      <c r="B10" s="51"/>
      <c r="C10" s="157"/>
      <c r="D10" s="161"/>
      <c r="E10" s="161">
        <v>6</v>
      </c>
      <c r="F10" s="121" t="s">
        <v>332</v>
      </c>
      <c r="G10" s="151" t="s">
        <v>25</v>
      </c>
      <c r="H10" s="154">
        <f t="shared" si="0"/>
        <v>7992.1009999999997</v>
      </c>
      <c r="I10" s="122">
        <f>1920000+150000+170000</f>
        <v>2240000</v>
      </c>
      <c r="J10" s="134">
        <v>46174</v>
      </c>
      <c r="K10" s="134">
        <f t="shared" si="2"/>
        <v>46177</v>
      </c>
      <c r="L10" s="53" t="s">
        <v>293</v>
      </c>
      <c r="M10" s="149" t="str">
        <f t="shared" ca="1" si="1"/>
        <v>AMAN</v>
      </c>
      <c r="O10" t="s">
        <v>26</v>
      </c>
      <c r="P10" s="1">
        <v>7992.1019999999999</v>
      </c>
    </row>
    <row r="11" spans="2:16">
      <c r="B11" s="51"/>
      <c r="C11" s="157"/>
      <c r="D11" s="161"/>
      <c r="E11" s="161">
        <v>7</v>
      </c>
      <c r="F11" s="121" t="s">
        <v>333</v>
      </c>
      <c r="G11" s="151" t="s">
        <v>22</v>
      </c>
      <c r="H11" s="154">
        <f t="shared" si="0"/>
        <v>6277</v>
      </c>
      <c r="I11" s="122">
        <v>1050000</v>
      </c>
      <c r="J11" s="134">
        <v>46174</v>
      </c>
      <c r="K11" s="134">
        <f t="shared" si="2"/>
        <v>46177</v>
      </c>
      <c r="L11" s="53" t="s">
        <v>293</v>
      </c>
      <c r="M11" s="123" t="str">
        <f t="shared" ca="1" si="1"/>
        <v>AMAN</v>
      </c>
      <c r="O11" s="63" t="s">
        <v>273</v>
      </c>
      <c r="P11" s="1">
        <v>6301</v>
      </c>
    </row>
    <row r="12" spans="2:16">
      <c r="B12" s="51"/>
      <c r="C12" s="157"/>
      <c r="D12" s="161"/>
      <c r="E12" s="161">
        <v>8</v>
      </c>
      <c r="F12" s="121" t="s">
        <v>352</v>
      </c>
      <c r="G12" s="151" t="s">
        <v>22</v>
      </c>
      <c r="H12" s="154">
        <f t="shared" si="0"/>
        <v>6277</v>
      </c>
      <c r="I12" s="122">
        <v>19800000</v>
      </c>
      <c r="J12" s="134">
        <v>46174</v>
      </c>
      <c r="K12" s="134">
        <f t="shared" si="2"/>
        <v>46177</v>
      </c>
      <c r="L12" s="53" t="s">
        <v>293</v>
      </c>
      <c r="M12" s="123" t="str">
        <f t="shared" ca="1" si="1"/>
        <v>AMAN</v>
      </c>
    </row>
    <row r="13" spans="2:16">
      <c r="B13" s="51"/>
      <c r="C13" s="157"/>
      <c r="D13" s="161"/>
      <c r="E13" s="161">
        <v>9</v>
      </c>
      <c r="F13" s="121" t="s">
        <v>353</v>
      </c>
      <c r="G13" s="151" t="s">
        <v>22</v>
      </c>
      <c r="H13" s="154">
        <f t="shared" si="0"/>
        <v>6277</v>
      </c>
      <c r="I13" s="122">
        <v>1690000</v>
      </c>
      <c r="J13" s="134">
        <v>46174</v>
      </c>
      <c r="K13" s="134">
        <f t="shared" si="2"/>
        <v>46177</v>
      </c>
      <c r="L13" s="53" t="s">
        <v>293</v>
      </c>
      <c r="M13" s="123" t="str">
        <f t="shared" ca="1" si="1"/>
        <v>AMAN</v>
      </c>
    </row>
    <row r="14" spans="2:16">
      <c r="B14" s="51"/>
      <c r="C14" s="157"/>
      <c r="D14" s="161"/>
      <c r="E14" s="161">
        <v>10</v>
      </c>
      <c r="F14" s="121" t="s">
        <v>333</v>
      </c>
      <c r="G14" s="124" t="s">
        <v>23</v>
      </c>
      <c r="H14" s="154">
        <f t="shared" si="0"/>
        <v>6278</v>
      </c>
      <c r="I14" s="54">
        <v>3500000</v>
      </c>
      <c r="J14" s="134">
        <v>46174</v>
      </c>
      <c r="K14" s="134">
        <f t="shared" si="2"/>
        <v>46177</v>
      </c>
      <c r="L14" s="53" t="s">
        <v>293</v>
      </c>
      <c r="M14" s="123" t="str">
        <f t="shared" ca="1" si="1"/>
        <v>AMAN</v>
      </c>
    </row>
    <row r="15" spans="2:16">
      <c r="B15" s="51"/>
      <c r="C15" s="157"/>
      <c r="D15" s="161"/>
      <c r="E15" s="161">
        <v>11</v>
      </c>
      <c r="F15" s="121" t="s">
        <v>334</v>
      </c>
      <c r="G15" s="124" t="s">
        <v>23</v>
      </c>
      <c r="H15" s="154">
        <f t="shared" si="0"/>
        <v>6278</v>
      </c>
      <c r="I15" s="54">
        <v>15361249</v>
      </c>
      <c r="J15" s="134">
        <v>46174</v>
      </c>
      <c r="K15" s="134">
        <f t="shared" si="2"/>
        <v>46177</v>
      </c>
      <c r="L15" s="53" t="s">
        <v>293</v>
      </c>
      <c r="M15" s="123" t="str">
        <f t="shared" ca="1" si="1"/>
        <v>AMAN</v>
      </c>
    </row>
    <row r="16" spans="2:16">
      <c r="B16" s="51"/>
      <c r="C16" s="157"/>
      <c r="D16" s="161"/>
      <c r="E16" s="161">
        <v>12</v>
      </c>
      <c r="F16" s="121" t="s">
        <v>353</v>
      </c>
      <c r="G16" s="124" t="s">
        <v>23</v>
      </c>
      <c r="H16" s="154">
        <f t="shared" si="0"/>
        <v>6278</v>
      </c>
      <c r="I16" s="54">
        <v>940000</v>
      </c>
      <c r="J16" s="134">
        <v>46174</v>
      </c>
      <c r="K16" s="134">
        <f t="shared" si="2"/>
        <v>46177</v>
      </c>
      <c r="L16" s="53" t="s">
        <v>293</v>
      </c>
      <c r="M16" s="123" t="str">
        <f t="shared" ca="1" si="1"/>
        <v>AMAN</v>
      </c>
    </row>
    <row r="17" spans="2:13">
      <c r="B17" s="51"/>
      <c r="C17" s="157"/>
      <c r="D17" s="161"/>
      <c r="E17" s="161">
        <v>13</v>
      </c>
      <c r="F17" s="121" t="s">
        <v>333</v>
      </c>
      <c r="G17" s="124" t="s">
        <v>17</v>
      </c>
      <c r="H17" s="154">
        <f t="shared" si="0"/>
        <v>6279</v>
      </c>
      <c r="I17" s="54">
        <v>6000000</v>
      </c>
      <c r="J17" s="134">
        <v>46174</v>
      </c>
      <c r="K17" s="134">
        <f t="shared" si="2"/>
        <v>46177</v>
      </c>
      <c r="L17" s="53" t="s">
        <v>293</v>
      </c>
      <c r="M17" s="123" t="str">
        <f t="shared" ca="1" si="1"/>
        <v>AMAN</v>
      </c>
    </row>
    <row r="18" spans="2:13">
      <c r="B18" s="51"/>
      <c r="C18" s="157"/>
      <c r="D18" s="161"/>
      <c r="E18" s="161">
        <v>14</v>
      </c>
      <c r="F18" s="52" t="s">
        <v>335</v>
      </c>
      <c r="G18" s="124" t="s">
        <v>17</v>
      </c>
      <c r="H18" s="154">
        <f t="shared" si="0"/>
        <v>6279</v>
      </c>
      <c r="I18" s="54">
        <v>7930000</v>
      </c>
      <c r="J18" s="134">
        <v>46174</v>
      </c>
      <c r="K18" s="134">
        <f t="shared" si="2"/>
        <v>46177</v>
      </c>
      <c r="L18" s="53" t="s">
        <v>293</v>
      </c>
      <c r="M18" s="123" t="str">
        <f t="shared" ca="1" si="1"/>
        <v>AMAN</v>
      </c>
    </row>
    <row r="19" spans="2:13">
      <c r="B19" s="51"/>
      <c r="C19" s="157"/>
      <c r="D19" s="161"/>
      <c r="E19" s="161">
        <v>15</v>
      </c>
      <c r="F19" s="121" t="s">
        <v>353</v>
      </c>
      <c r="G19" s="124" t="s">
        <v>17</v>
      </c>
      <c r="H19" s="154">
        <f t="shared" si="0"/>
        <v>6279</v>
      </c>
      <c r="I19" s="54">
        <v>4720000</v>
      </c>
      <c r="J19" s="134">
        <v>46174</v>
      </c>
      <c r="K19" s="134">
        <f t="shared" si="2"/>
        <v>46177</v>
      </c>
      <c r="L19" s="53" t="s">
        <v>293</v>
      </c>
      <c r="M19" s="123" t="str">
        <f t="shared" ca="1" si="1"/>
        <v>AMAN</v>
      </c>
    </row>
    <row r="20" spans="2:13">
      <c r="B20" s="51"/>
      <c r="C20" s="157"/>
      <c r="D20" s="161"/>
      <c r="E20" s="161">
        <v>16</v>
      </c>
      <c r="F20" s="121" t="s">
        <v>333</v>
      </c>
      <c r="G20" s="124" t="s">
        <v>24</v>
      </c>
      <c r="H20" s="154">
        <f t="shared" si="0"/>
        <v>6280</v>
      </c>
      <c r="I20" s="54">
        <v>20050000</v>
      </c>
      <c r="J20" s="134">
        <v>46174</v>
      </c>
      <c r="K20" s="134">
        <f t="shared" si="2"/>
        <v>46177</v>
      </c>
      <c r="L20" s="53" t="s">
        <v>293</v>
      </c>
      <c r="M20" s="123" t="str">
        <f t="shared" ca="1" si="1"/>
        <v>AMAN</v>
      </c>
    </row>
    <row r="21" spans="2:13">
      <c r="B21" s="51"/>
      <c r="C21" s="157"/>
      <c r="D21" s="161"/>
      <c r="E21" s="161">
        <v>17</v>
      </c>
      <c r="F21" s="52" t="s">
        <v>354</v>
      </c>
      <c r="G21" s="124" t="s">
        <v>24</v>
      </c>
      <c r="H21" s="154">
        <f t="shared" si="0"/>
        <v>6280</v>
      </c>
      <c r="I21" s="54">
        <v>8030000</v>
      </c>
      <c r="J21" s="134">
        <v>46174</v>
      </c>
      <c r="K21" s="134">
        <f t="shared" si="2"/>
        <v>46177</v>
      </c>
      <c r="L21" s="53" t="s">
        <v>293</v>
      </c>
      <c r="M21" s="123" t="str">
        <f t="shared" ca="1" si="1"/>
        <v>AMAN</v>
      </c>
    </row>
    <row r="22" spans="2:13">
      <c r="B22" s="51"/>
      <c r="C22" s="157"/>
      <c r="D22" s="161"/>
      <c r="E22" s="161">
        <v>18</v>
      </c>
      <c r="F22" s="121" t="s">
        <v>353</v>
      </c>
      <c r="G22" s="124" t="s">
        <v>24</v>
      </c>
      <c r="H22" s="154">
        <f t="shared" si="0"/>
        <v>6280</v>
      </c>
      <c r="I22" s="54">
        <v>1690000</v>
      </c>
      <c r="J22" s="134">
        <v>46174</v>
      </c>
      <c r="K22" s="134">
        <f t="shared" si="2"/>
        <v>46177</v>
      </c>
      <c r="L22" s="53" t="s">
        <v>293</v>
      </c>
      <c r="M22" s="123" t="str">
        <f t="shared" ca="1" si="1"/>
        <v>AMAN</v>
      </c>
    </row>
    <row r="23" spans="2:13">
      <c r="B23" s="51"/>
      <c r="C23" s="157"/>
      <c r="D23" s="161"/>
      <c r="E23" s="161">
        <v>19</v>
      </c>
      <c r="F23" s="121" t="s">
        <v>333</v>
      </c>
      <c r="G23" s="124" t="s">
        <v>25</v>
      </c>
      <c r="H23" s="154">
        <f t="shared" si="0"/>
        <v>7992.1009999999997</v>
      </c>
      <c r="I23" s="54">
        <v>7550000</v>
      </c>
      <c r="J23" s="134">
        <v>46174</v>
      </c>
      <c r="K23" s="134">
        <f t="shared" si="2"/>
        <v>46177</v>
      </c>
      <c r="L23" s="53" t="s">
        <v>293</v>
      </c>
      <c r="M23" s="123" t="str">
        <f t="shared" ca="1" si="1"/>
        <v>AMAN</v>
      </c>
    </row>
    <row r="24" spans="2:13">
      <c r="B24" s="51"/>
      <c r="C24" s="157"/>
      <c r="D24" s="161"/>
      <c r="E24" s="161">
        <v>20</v>
      </c>
      <c r="F24" s="52" t="s">
        <v>354</v>
      </c>
      <c r="G24" s="124" t="s">
        <v>25</v>
      </c>
      <c r="H24" s="154">
        <f t="shared" si="0"/>
        <v>7992.1009999999997</v>
      </c>
      <c r="I24" s="54">
        <v>2196000</v>
      </c>
      <c r="J24" s="134">
        <v>46174</v>
      </c>
      <c r="K24" s="134">
        <f t="shared" si="2"/>
        <v>46177</v>
      </c>
      <c r="L24" s="53" t="s">
        <v>293</v>
      </c>
      <c r="M24" s="123" t="str">
        <f t="shared" ca="1" si="1"/>
        <v>AMAN</v>
      </c>
    </row>
    <row r="25" spans="2:13">
      <c r="B25" s="51"/>
      <c r="C25" s="157"/>
      <c r="D25" s="161"/>
      <c r="E25" s="161">
        <v>21</v>
      </c>
      <c r="F25" s="121" t="s">
        <v>353</v>
      </c>
      <c r="G25" s="124" t="s">
        <v>25</v>
      </c>
      <c r="H25" s="154">
        <f t="shared" si="0"/>
        <v>7992.1009999999997</v>
      </c>
      <c r="I25" s="54">
        <v>320000</v>
      </c>
      <c r="J25" s="134">
        <v>46174</v>
      </c>
      <c r="K25" s="134">
        <f t="shared" si="2"/>
        <v>46177</v>
      </c>
      <c r="L25" s="53" t="s">
        <v>293</v>
      </c>
      <c r="M25" s="123" t="str">
        <f t="shared" ca="1" si="1"/>
        <v>AMAN</v>
      </c>
    </row>
    <row r="26" spans="2:13">
      <c r="B26" s="51"/>
      <c r="C26" s="157"/>
      <c r="D26" s="161"/>
      <c r="E26" s="161">
        <v>22</v>
      </c>
      <c r="F26" s="121" t="s">
        <v>333</v>
      </c>
      <c r="G26" s="124" t="s">
        <v>26</v>
      </c>
      <c r="H26" s="154">
        <f t="shared" si="0"/>
        <v>7992.1019999999999</v>
      </c>
      <c r="I26" s="54">
        <v>700000</v>
      </c>
      <c r="J26" s="134">
        <v>46174</v>
      </c>
      <c r="K26" s="134">
        <f t="shared" si="2"/>
        <v>46177</v>
      </c>
      <c r="L26" s="53" t="s">
        <v>293</v>
      </c>
      <c r="M26" s="123" t="str">
        <f t="shared" ca="1" si="1"/>
        <v>AMAN</v>
      </c>
    </row>
    <row r="27" spans="2:13">
      <c r="B27" s="51"/>
      <c r="C27" s="157"/>
      <c r="D27" s="161"/>
      <c r="E27" s="161">
        <v>23</v>
      </c>
      <c r="F27" s="121" t="s">
        <v>353</v>
      </c>
      <c r="G27" s="124" t="s">
        <v>26</v>
      </c>
      <c r="H27" s="154">
        <f t="shared" si="0"/>
        <v>7992.1019999999999</v>
      </c>
      <c r="I27" s="54">
        <v>1970000</v>
      </c>
      <c r="J27" s="134">
        <v>46174</v>
      </c>
      <c r="K27" s="134">
        <f t="shared" si="2"/>
        <v>46177</v>
      </c>
      <c r="L27" s="53" t="s">
        <v>293</v>
      </c>
      <c r="M27" s="123" t="str">
        <f t="shared" ca="1" si="1"/>
        <v>AMAN</v>
      </c>
    </row>
    <row r="28" spans="2:13">
      <c r="B28" s="51"/>
      <c r="C28" s="157"/>
      <c r="D28" s="161"/>
      <c r="E28" s="161">
        <v>24</v>
      </c>
      <c r="F28" s="52" t="s">
        <v>336</v>
      </c>
      <c r="G28" s="124" t="s">
        <v>273</v>
      </c>
      <c r="H28" s="154">
        <f t="shared" si="0"/>
        <v>6301</v>
      </c>
      <c r="I28" s="54">
        <v>14767698</v>
      </c>
      <c r="J28" s="134">
        <v>46174</v>
      </c>
      <c r="K28" s="134">
        <f t="shared" si="2"/>
        <v>46177</v>
      </c>
      <c r="L28" s="53" t="s">
        <v>293</v>
      </c>
      <c r="M28" s="123" t="str">
        <f t="shared" ca="1" si="1"/>
        <v>AMAN</v>
      </c>
    </row>
    <row r="29" spans="2:13">
      <c r="B29" s="51"/>
      <c r="C29" s="157"/>
      <c r="D29" s="161"/>
      <c r="E29" s="161">
        <v>25</v>
      </c>
      <c r="F29" s="56" t="s">
        <v>336</v>
      </c>
      <c r="G29" s="125" t="s">
        <v>273</v>
      </c>
      <c r="H29" s="154">
        <f t="shared" si="0"/>
        <v>6301</v>
      </c>
      <c r="I29" s="58">
        <v>1200000</v>
      </c>
      <c r="J29" s="134">
        <v>46174</v>
      </c>
      <c r="K29" s="134">
        <f t="shared" si="2"/>
        <v>46177</v>
      </c>
      <c r="L29" s="53" t="s">
        <v>293</v>
      </c>
      <c r="M29" s="123" t="str">
        <f t="shared" ca="1" si="1"/>
        <v>AMAN</v>
      </c>
    </row>
    <row r="30" spans="2:13">
      <c r="B30" s="51"/>
      <c r="C30" s="157"/>
      <c r="D30" s="161"/>
      <c r="E30" s="161">
        <v>26</v>
      </c>
      <c r="F30" s="56" t="s">
        <v>337</v>
      </c>
      <c r="G30" s="125" t="s">
        <v>273</v>
      </c>
      <c r="H30" s="154">
        <f t="shared" si="0"/>
        <v>6301</v>
      </c>
      <c r="I30" s="58">
        <v>2842000</v>
      </c>
      <c r="J30" s="134">
        <v>46174</v>
      </c>
      <c r="K30" s="134">
        <f t="shared" si="2"/>
        <v>46177</v>
      </c>
      <c r="L30" s="53" t="s">
        <v>293</v>
      </c>
      <c r="M30" s="123" t="str">
        <f t="shared" ca="1" si="1"/>
        <v>AMAN</v>
      </c>
    </row>
    <row r="31" spans="2:13">
      <c r="B31" s="51"/>
      <c r="C31" s="157"/>
      <c r="D31" s="161"/>
      <c r="E31" s="161">
        <v>27</v>
      </c>
      <c r="F31" s="56" t="s">
        <v>338</v>
      </c>
      <c r="G31" s="125" t="s">
        <v>273</v>
      </c>
      <c r="H31" s="154">
        <f t="shared" si="0"/>
        <v>6301</v>
      </c>
      <c r="I31" s="58">
        <v>3052690</v>
      </c>
      <c r="J31" s="134">
        <v>46174</v>
      </c>
      <c r="K31" s="134">
        <f t="shared" si="2"/>
        <v>46177</v>
      </c>
      <c r="L31" s="53" t="s">
        <v>293</v>
      </c>
      <c r="M31" s="123" t="str">
        <f t="shared" ca="1" si="1"/>
        <v>AMAN</v>
      </c>
    </row>
    <row r="32" spans="2:13">
      <c r="B32" s="51"/>
      <c r="C32" s="157"/>
      <c r="D32" s="161"/>
      <c r="E32" s="161">
        <v>28</v>
      </c>
      <c r="F32" s="56" t="s">
        <v>339</v>
      </c>
      <c r="G32" s="125" t="s">
        <v>273</v>
      </c>
      <c r="H32" s="154">
        <f t="shared" si="0"/>
        <v>6301</v>
      </c>
      <c r="I32" s="58">
        <v>11060000</v>
      </c>
      <c r="J32" s="134">
        <v>46174</v>
      </c>
      <c r="K32" s="134">
        <f t="shared" si="2"/>
        <v>46177</v>
      </c>
      <c r="L32" s="53" t="s">
        <v>293</v>
      </c>
      <c r="M32" s="123" t="str">
        <f t="shared" ca="1" si="1"/>
        <v>AMAN</v>
      </c>
    </row>
    <row r="33" spans="2:13">
      <c r="B33" s="51"/>
      <c r="C33" s="157"/>
      <c r="D33" s="161"/>
      <c r="E33" s="161">
        <v>29</v>
      </c>
      <c r="F33" s="56" t="s">
        <v>340</v>
      </c>
      <c r="G33" s="125" t="s">
        <v>273</v>
      </c>
      <c r="H33" s="154">
        <f t="shared" si="0"/>
        <v>6301</v>
      </c>
      <c r="I33" s="58">
        <v>2128000</v>
      </c>
      <c r="J33" s="134">
        <v>46174</v>
      </c>
      <c r="K33" s="134">
        <f t="shared" si="2"/>
        <v>46177</v>
      </c>
      <c r="L33" s="53" t="s">
        <v>293</v>
      </c>
      <c r="M33" s="123" t="str">
        <f t="shared" ca="1" si="1"/>
        <v>AMAN</v>
      </c>
    </row>
    <row r="34" spans="2:13">
      <c r="B34" s="51"/>
      <c r="C34" s="157"/>
      <c r="D34" s="161"/>
      <c r="E34" s="161">
        <v>30</v>
      </c>
      <c r="F34" s="56" t="s">
        <v>341</v>
      </c>
      <c r="G34" s="125" t="s">
        <v>273</v>
      </c>
      <c r="H34" s="154">
        <f t="shared" si="0"/>
        <v>6301</v>
      </c>
      <c r="I34" s="58">
        <v>2134228</v>
      </c>
      <c r="J34" s="134">
        <v>46174</v>
      </c>
      <c r="K34" s="134">
        <f t="shared" si="2"/>
        <v>46177</v>
      </c>
      <c r="L34" s="53" t="s">
        <v>293</v>
      </c>
      <c r="M34" s="123" t="str">
        <f t="shared" ca="1" si="1"/>
        <v>AMAN</v>
      </c>
    </row>
    <row r="35" spans="2:13">
      <c r="B35" s="51"/>
      <c r="C35" s="157"/>
      <c r="D35" s="161"/>
      <c r="E35" s="161">
        <v>31</v>
      </c>
      <c r="F35" s="56" t="s">
        <v>342</v>
      </c>
      <c r="G35" s="125" t="s">
        <v>273</v>
      </c>
      <c r="H35" s="154">
        <f t="shared" si="0"/>
        <v>6301</v>
      </c>
      <c r="I35" s="58">
        <v>3387000</v>
      </c>
      <c r="J35" s="134">
        <v>46174</v>
      </c>
      <c r="K35" s="134">
        <f t="shared" si="2"/>
        <v>46177</v>
      </c>
      <c r="L35" s="53" t="s">
        <v>293</v>
      </c>
      <c r="M35" s="123" t="str">
        <f t="shared" ca="1" si="1"/>
        <v>AMAN</v>
      </c>
    </row>
    <row r="36" spans="2:13">
      <c r="B36" s="51"/>
      <c r="C36" s="157"/>
      <c r="D36" s="161"/>
      <c r="E36" s="161">
        <v>32</v>
      </c>
      <c r="F36" s="56" t="s">
        <v>343</v>
      </c>
      <c r="G36" s="125" t="s">
        <v>273</v>
      </c>
      <c r="H36" s="154">
        <f t="shared" si="0"/>
        <v>6301</v>
      </c>
      <c r="I36" s="58">
        <v>277000</v>
      </c>
      <c r="J36" s="134">
        <v>46174</v>
      </c>
      <c r="K36" s="134">
        <f t="shared" si="2"/>
        <v>46177</v>
      </c>
      <c r="L36" s="53" t="s">
        <v>293</v>
      </c>
      <c r="M36" s="123" t="str">
        <f t="shared" ca="1" si="1"/>
        <v>AMAN</v>
      </c>
    </row>
    <row r="37" spans="2:13">
      <c r="B37" s="51"/>
      <c r="C37" s="157"/>
      <c r="D37" s="161"/>
      <c r="E37" s="161">
        <v>33</v>
      </c>
      <c r="F37" s="56" t="s">
        <v>344</v>
      </c>
      <c r="G37" s="125" t="s">
        <v>273</v>
      </c>
      <c r="H37" s="154">
        <f t="shared" ref="H37:H55" si="3">SUMIF(O:O,G37,P:P)</f>
        <v>6301</v>
      </c>
      <c r="I37" s="58">
        <v>1998000</v>
      </c>
      <c r="J37" s="134">
        <v>46174</v>
      </c>
      <c r="K37" s="134">
        <f t="shared" si="2"/>
        <v>46177</v>
      </c>
      <c r="L37" s="53" t="s">
        <v>293</v>
      </c>
      <c r="M37" s="123" t="str">
        <f t="shared" ca="1" si="1"/>
        <v>AMAN</v>
      </c>
    </row>
    <row r="38" spans="2:13">
      <c r="B38" s="51"/>
      <c r="C38" s="157"/>
      <c r="D38" s="161"/>
      <c r="E38" s="161">
        <v>34</v>
      </c>
      <c r="F38" s="56" t="s">
        <v>345</v>
      </c>
      <c r="G38" s="125" t="s">
        <v>273</v>
      </c>
      <c r="H38" s="154">
        <f t="shared" si="3"/>
        <v>6301</v>
      </c>
      <c r="I38" s="58">
        <v>190000</v>
      </c>
      <c r="J38" s="134">
        <v>46174</v>
      </c>
      <c r="K38" s="134">
        <f t="shared" si="2"/>
        <v>46177</v>
      </c>
      <c r="L38" s="53" t="s">
        <v>293</v>
      </c>
      <c r="M38" s="123" t="str">
        <f t="shared" ca="1" si="1"/>
        <v>AMAN</v>
      </c>
    </row>
    <row r="39" spans="2:13">
      <c r="B39" s="51" t="s">
        <v>349</v>
      </c>
      <c r="C39" s="158">
        <v>207</v>
      </c>
      <c r="D39" s="165">
        <f>SUM(I39:I41)</f>
        <v>4053500</v>
      </c>
      <c r="E39" s="162">
        <v>35</v>
      </c>
      <c r="F39" s="56" t="s">
        <v>350</v>
      </c>
      <c r="G39" s="125" t="s">
        <v>23</v>
      </c>
      <c r="H39" s="154">
        <f t="shared" si="3"/>
        <v>6278</v>
      </c>
      <c r="I39" s="58">
        <v>1936000</v>
      </c>
      <c r="J39" s="134">
        <v>46174</v>
      </c>
      <c r="K39" s="134">
        <f t="shared" si="2"/>
        <v>46177</v>
      </c>
      <c r="L39" s="53" t="s">
        <v>293</v>
      </c>
      <c r="M39" s="123" t="str">
        <f t="shared" ca="1" si="1"/>
        <v>AMAN</v>
      </c>
    </row>
    <row r="40" spans="2:13">
      <c r="B40" s="51"/>
      <c r="C40" s="158"/>
      <c r="D40" s="162"/>
      <c r="E40" s="162">
        <v>36</v>
      </c>
      <c r="F40" s="56" t="s">
        <v>351</v>
      </c>
      <c r="G40" s="125" t="s">
        <v>273</v>
      </c>
      <c r="H40" s="154">
        <f t="shared" si="3"/>
        <v>6301</v>
      </c>
      <c r="I40" s="58">
        <v>17500</v>
      </c>
      <c r="J40" s="134">
        <v>46174</v>
      </c>
      <c r="K40" s="134">
        <f t="shared" ref="K40:K41" si="4">J40+3</f>
        <v>46177</v>
      </c>
      <c r="L40" s="53" t="s">
        <v>293</v>
      </c>
      <c r="M40" s="123" t="str">
        <f t="shared" ref="M40:M41" ca="1" si="5">IF(L39="Selesai","AMAN",IF(K40-TODAY()&lt;=3,"SEGERA DIPROSES",IF(TODAY()&gt;K40,"LEWAT DEADLINE","AMAN")))</f>
        <v>AMAN</v>
      </c>
    </row>
    <row r="41" spans="2:13">
      <c r="B41" s="51"/>
      <c r="C41" s="158"/>
      <c r="D41" s="162"/>
      <c r="E41" s="162">
        <v>37</v>
      </c>
      <c r="F41" s="56" t="s">
        <v>341</v>
      </c>
      <c r="G41" s="125" t="s">
        <v>273</v>
      </c>
      <c r="H41" s="154">
        <f t="shared" si="3"/>
        <v>6301</v>
      </c>
      <c r="I41" s="58">
        <v>2100000</v>
      </c>
      <c r="J41" s="134">
        <v>46174</v>
      </c>
      <c r="K41" s="134">
        <f t="shared" si="4"/>
        <v>46177</v>
      </c>
      <c r="L41" s="53" t="s">
        <v>293</v>
      </c>
      <c r="M41" s="123" t="str">
        <f t="shared" ca="1" si="5"/>
        <v>AMAN</v>
      </c>
    </row>
    <row r="42" spans="2:13">
      <c r="B42" s="55"/>
      <c r="C42" s="80"/>
      <c r="D42" s="79"/>
      <c r="E42" s="79"/>
      <c r="F42" s="56"/>
      <c r="G42" s="125"/>
      <c r="H42" s="154">
        <f t="shared" si="3"/>
        <v>0</v>
      </c>
      <c r="I42" s="58"/>
      <c r="J42" s="135"/>
      <c r="K42" s="57"/>
      <c r="L42" s="57"/>
      <c r="M42" s="59"/>
    </row>
    <row r="43" spans="2:13">
      <c r="B43" s="55"/>
      <c r="C43" s="80"/>
      <c r="D43" s="79"/>
      <c r="E43" s="79"/>
      <c r="F43" s="56"/>
      <c r="G43" s="125"/>
      <c r="H43" s="154">
        <f t="shared" si="3"/>
        <v>0</v>
      </c>
      <c r="I43" s="58"/>
      <c r="J43" s="135"/>
      <c r="K43" s="57"/>
      <c r="L43" s="57"/>
      <c r="M43" s="59"/>
    </row>
    <row r="44" spans="2:13">
      <c r="B44" s="55"/>
      <c r="C44" s="80"/>
      <c r="D44" s="79"/>
      <c r="E44" s="79"/>
      <c r="F44" s="56"/>
      <c r="G44" s="125"/>
      <c r="H44" s="154">
        <f t="shared" si="3"/>
        <v>0</v>
      </c>
      <c r="I44" s="58"/>
      <c r="J44" s="135"/>
      <c r="K44" s="57"/>
      <c r="L44" s="57"/>
      <c r="M44" s="59"/>
    </row>
    <row r="45" spans="2:13">
      <c r="B45" s="55"/>
      <c r="C45" s="80"/>
      <c r="D45" s="79"/>
      <c r="E45" s="79"/>
      <c r="F45" s="56"/>
      <c r="G45" s="125"/>
      <c r="H45" s="154">
        <f t="shared" si="3"/>
        <v>0</v>
      </c>
      <c r="I45" s="58"/>
      <c r="J45" s="135"/>
      <c r="K45" s="57"/>
      <c r="L45" s="57"/>
      <c r="M45" s="59"/>
    </row>
    <row r="46" spans="2:13">
      <c r="B46" s="55"/>
      <c r="C46" s="80"/>
      <c r="D46" s="79"/>
      <c r="E46" s="79"/>
      <c r="F46" s="56"/>
      <c r="G46" s="125"/>
      <c r="H46" s="154">
        <f t="shared" si="3"/>
        <v>0</v>
      </c>
      <c r="I46" s="58"/>
      <c r="J46" s="135"/>
      <c r="K46" s="57"/>
      <c r="L46" s="57"/>
      <c r="M46" s="59"/>
    </row>
    <row r="47" spans="2:13">
      <c r="B47" s="55"/>
      <c r="C47" s="80"/>
      <c r="D47" s="79"/>
      <c r="E47" s="79"/>
      <c r="F47" s="56"/>
      <c r="G47" s="125"/>
      <c r="H47" s="154">
        <f t="shared" si="3"/>
        <v>0</v>
      </c>
      <c r="I47" s="58"/>
      <c r="J47" s="135"/>
      <c r="K47" s="57"/>
      <c r="L47" s="57"/>
      <c r="M47" s="59"/>
    </row>
    <row r="48" spans="2:13">
      <c r="B48" s="55"/>
      <c r="C48" s="80"/>
      <c r="D48" s="79"/>
      <c r="E48" s="79"/>
      <c r="F48" s="56"/>
      <c r="G48" s="125"/>
      <c r="H48" s="154">
        <f t="shared" si="3"/>
        <v>0</v>
      </c>
      <c r="I48" s="58"/>
      <c r="J48" s="135"/>
      <c r="K48" s="57"/>
      <c r="L48" s="57"/>
      <c r="M48" s="59"/>
    </row>
    <row r="49" spans="2:13">
      <c r="B49" s="55"/>
      <c r="C49" s="80"/>
      <c r="D49" s="79"/>
      <c r="E49" s="79"/>
      <c r="F49" s="56"/>
      <c r="G49" s="125"/>
      <c r="H49" s="154">
        <f t="shared" si="3"/>
        <v>0</v>
      </c>
      <c r="I49" s="58"/>
      <c r="J49" s="135"/>
      <c r="K49" s="57"/>
      <c r="L49" s="57"/>
      <c r="M49" s="59"/>
    </row>
    <row r="50" spans="2:13">
      <c r="B50" s="55"/>
      <c r="C50" s="80"/>
      <c r="D50" s="79"/>
      <c r="E50" s="79"/>
      <c r="F50" s="56"/>
      <c r="G50" s="125"/>
      <c r="H50" s="154">
        <f t="shared" si="3"/>
        <v>0</v>
      </c>
      <c r="I50" s="58"/>
      <c r="J50" s="135"/>
      <c r="K50" s="57"/>
      <c r="L50" s="57"/>
      <c r="M50" s="59"/>
    </row>
    <row r="51" spans="2:13">
      <c r="B51" s="55"/>
      <c r="C51" s="80"/>
      <c r="D51" s="79"/>
      <c r="E51" s="79"/>
      <c r="F51" s="56"/>
      <c r="G51" s="125"/>
      <c r="H51" s="154">
        <f t="shared" si="3"/>
        <v>0</v>
      </c>
      <c r="I51" s="58"/>
      <c r="J51" s="135"/>
      <c r="K51" s="57"/>
      <c r="L51" s="57"/>
      <c r="M51" s="59"/>
    </row>
    <row r="52" spans="2:13">
      <c r="B52" s="55"/>
      <c r="C52" s="80"/>
      <c r="D52" s="79"/>
      <c r="E52" s="79"/>
      <c r="F52" s="56"/>
      <c r="G52" s="125"/>
      <c r="H52" s="154">
        <f t="shared" si="3"/>
        <v>0</v>
      </c>
      <c r="I52" s="58"/>
      <c r="J52" s="135"/>
      <c r="K52" s="57"/>
      <c r="L52" s="57"/>
      <c r="M52" s="59"/>
    </row>
    <row r="53" spans="2:13">
      <c r="B53" s="55"/>
      <c r="C53" s="80"/>
      <c r="D53" s="79"/>
      <c r="E53" s="79"/>
      <c r="F53" s="56"/>
      <c r="G53" s="125"/>
      <c r="H53" s="154">
        <f t="shared" si="3"/>
        <v>0</v>
      </c>
      <c r="I53" s="58"/>
      <c r="J53" s="135"/>
      <c r="K53" s="57"/>
      <c r="L53" s="57"/>
      <c r="M53" s="59"/>
    </row>
    <row r="54" spans="2:13">
      <c r="B54" s="55"/>
      <c r="C54" s="80"/>
      <c r="D54" s="79"/>
      <c r="E54" s="79"/>
      <c r="F54" s="56"/>
      <c r="G54" s="125"/>
      <c r="H54" s="154">
        <f t="shared" si="3"/>
        <v>0</v>
      </c>
      <c r="I54" s="58"/>
      <c r="J54" s="135"/>
      <c r="K54" s="57"/>
      <c r="L54" s="57"/>
      <c r="M54" s="59"/>
    </row>
    <row r="55" spans="2:13">
      <c r="B55" s="55"/>
      <c r="C55" s="80"/>
      <c r="D55" s="79"/>
      <c r="E55" s="79"/>
      <c r="F55" s="56"/>
      <c r="G55" s="125"/>
      <c r="H55" s="154">
        <f t="shared" si="3"/>
        <v>0</v>
      </c>
      <c r="I55" s="58"/>
      <c r="J55" s="135"/>
      <c r="K55" s="57"/>
      <c r="L55" s="57"/>
      <c r="M55" s="59"/>
    </row>
    <row r="56" spans="2:13">
      <c r="B56" s="60"/>
      <c r="C56" s="159"/>
      <c r="D56" s="163"/>
      <c r="E56" s="163"/>
      <c r="F56" s="142"/>
      <c r="G56" s="152"/>
      <c r="H56" s="155"/>
      <c r="I56" s="146"/>
      <c r="J56" s="140"/>
      <c r="K56" s="61"/>
      <c r="L56" s="61"/>
      <c r="M56" s="62"/>
    </row>
    <row r="57" spans="2:13" s="68" customFormat="1">
      <c r="B57" s="65"/>
      <c r="C57" s="65"/>
      <c r="D57" s="65"/>
      <c r="E57" s="65"/>
      <c r="F57" s="66" t="s">
        <v>272</v>
      </c>
      <c r="G57" s="65"/>
      <c r="H57" s="65"/>
      <c r="I57" s="67">
        <f>SUM(I5:I56)</f>
        <v>206017365</v>
      </c>
      <c r="J57" s="141"/>
      <c r="K57" s="65"/>
      <c r="L57" s="65"/>
      <c r="M57" s="65"/>
    </row>
    <row r="59" spans="2:13">
      <c r="F59" s="64" t="s">
        <v>262</v>
      </c>
      <c r="G59" s="64" t="s">
        <v>329</v>
      </c>
      <c r="H59" s="143"/>
    </row>
    <row r="60" spans="2:13">
      <c r="F60" t="s">
        <v>22</v>
      </c>
      <c r="G60" s="32">
        <v>6277</v>
      </c>
      <c r="H60" s="144">
        <f t="shared" ref="H60:H66" si="6">SUMIF(G:G,F60,I:I)</f>
        <v>36210000</v>
      </c>
    </row>
    <row r="61" spans="2:13">
      <c r="F61" t="s">
        <v>23</v>
      </c>
      <c r="G61" s="32">
        <v>6278</v>
      </c>
      <c r="H61" s="144">
        <f t="shared" si="6"/>
        <v>28877249</v>
      </c>
    </row>
    <row r="62" spans="2:13">
      <c r="F62" t="s">
        <v>17</v>
      </c>
      <c r="G62" s="32">
        <v>6279</v>
      </c>
      <c r="H62" s="144">
        <f t="shared" si="6"/>
        <v>40400000</v>
      </c>
    </row>
    <row r="63" spans="2:13">
      <c r="F63" t="s">
        <v>24</v>
      </c>
      <c r="G63" s="32">
        <v>6280</v>
      </c>
      <c r="H63" s="144">
        <f t="shared" si="6"/>
        <v>40400000</v>
      </c>
    </row>
    <row r="64" spans="2:13">
      <c r="F64" t="s">
        <v>25</v>
      </c>
      <c r="G64" s="32">
        <v>7992.1009999999997</v>
      </c>
      <c r="H64" s="144">
        <f t="shared" si="6"/>
        <v>12306000</v>
      </c>
    </row>
    <row r="65" spans="6:8">
      <c r="F65" t="s">
        <v>26</v>
      </c>
      <c r="G65" s="32">
        <v>7992.1019999999999</v>
      </c>
      <c r="H65" s="144">
        <f t="shared" si="6"/>
        <v>2670000</v>
      </c>
    </row>
    <row r="66" spans="6:8">
      <c r="F66" s="63" t="s">
        <v>273</v>
      </c>
      <c r="G66" s="32">
        <v>6301</v>
      </c>
      <c r="H66" s="144">
        <f t="shared" si="6"/>
        <v>45154116</v>
      </c>
    </row>
    <row r="67" spans="6:8">
      <c r="F67" s="71" t="s">
        <v>27</v>
      </c>
      <c r="G67" s="71"/>
      <c r="H67" s="145">
        <f>SUM(H60:H66)</f>
        <v>206017365</v>
      </c>
    </row>
  </sheetData>
  <conditionalFormatting sqref="M5:M56">
    <cfRule type="containsText" dxfId="4" priority="1" operator="containsText" text="LEWAT DEADLINE">
      <formula>NOT(ISERROR(SEARCH("LEWAT DEADLINE",M5)))</formula>
    </cfRule>
    <cfRule type="containsText" dxfId="3" priority="2" operator="containsText" text="SEGERA DIPROSES">
      <formula>NOT(ISERROR(SEARCH("SEGERA DIPROSES",M5)))</formula>
    </cfRule>
    <cfRule type="containsText" dxfId="2" priority="3" operator="containsText" text="AMAN">
      <formula>NOT(ISERROR(SEARCH("AMAN",M5)))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2B52B8-86E4-4010-ACAF-4D3A112DD7C4}">
          <x14:formula1>
            <xm:f>Master_Data!$B$3:$B$9</xm:f>
          </x14:formula1>
          <xm:sqref>G5:G56</xm:sqref>
        </x14:dataValidation>
        <x14:dataValidation type="list" allowBlank="1" showInputMessage="1" showErrorMessage="1" xr:uid="{63ACE50C-30D2-458A-A127-7C934FC7AC9F}">
          <x14:formula1>
            <xm:f>Master_Data!$F$3:$F$6</xm:f>
          </x14:formula1>
          <xm:sqref>L5:L56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36"/>
  <sheetViews>
    <sheetView tabSelected="1" zoomScale="80" zoomScaleNormal="80" workbookViewId="0">
      <selection activeCell="O35" sqref="O35"/>
    </sheetView>
  </sheetViews>
  <sheetFormatPr defaultColWidth="9.140625" defaultRowHeight="15.75"/>
  <cols>
    <col min="1" max="1" width="3.7109375" style="107" customWidth="1"/>
    <col min="2" max="2" width="10.140625" style="109" customWidth="1"/>
    <col min="3" max="3" width="54.5703125" style="107" customWidth="1"/>
    <col min="4" max="4" width="21.7109375" style="110" customWidth="1"/>
    <col min="5" max="5" width="22.28515625" style="110" customWidth="1"/>
    <col min="6" max="8" width="18.42578125" style="110" customWidth="1"/>
    <col min="9" max="9" width="10.140625" style="111" customWidth="1"/>
    <col min="10" max="10" width="20.7109375" style="110" customWidth="1"/>
    <col min="11" max="11" width="17.5703125" style="110" customWidth="1"/>
    <col min="12" max="12" width="15.5703125" style="111" customWidth="1"/>
    <col min="13" max="13" width="5.140625" style="109" customWidth="1"/>
    <col min="14" max="14" width="23" style="107" customWidth="1"/>
    <col min="15" max="15" width="17" style="107" customWidth="1"/>
    <col min="16" max="16" width="18" style="107" customWidth="1"/>
    <col min="17" max="17" width="18.140625" style="107" customWidth="1"/>
    <col min="18" max="18" width="16.42578125" style="226" customWidth="1"/>
    <col min="19" max="16384" width="9.140625" style="107"/>
  </cols>
  <sheetData>
    <row r="2" spans="2:18" ht="34.5" customHeight="1">
      <c r="B2" s="253" t="s">
        <v>238</v>
      </c>
      <c r="C2" s="253" t="s">
        <v>42</v>
      </c>
      <c r="D2" s="256" t="s">
        <v>43</v>
      </c>
      <c r="E2" s="88" t="s">
        <v>239</v>
      </c>
      <c r="F2" s="256" t="s">
        <v>45</v>
      </c>
      <c r="G2" s="257"/>
      <c r="H2" s="257"/>
      <c r="I2" s="257"/>
      <c r="J2" s="258"/>
      <c r="K2" s="251" t="s">
        <v>240</v>
      </c>
      <c r="L2" s="251" t="s">
        <v>241</v>
      </c>
      <c r="N2" s="216" t="str">
        <f>TEXT(G4/1000000000,"0.00")&amp;" M"</f>
        <v>1.51 M</v>
      </c>
      <c r="O2" s="216"/>
      <c r="P2" s="216"/>
      <c r="Q2" s="238"/>
    </row>
    <row r="3" spans="2:18" s="108" customFormat="1" ht="18.75" customHeight="1">
      <c r="B3" s="252"/>
      <c r="C3" s="252"/>
      <c r="D3" s="252"/>
      <c r="E3" s="114" t="s">
        <v>275</v>
      </c>
      <c r="F3" s="87" t="s">
        <v>242</v>
      </c>
      <c r="G3" s="87" t="s">
        <v>243</v>
      </c>
      <c r="H3" s="87" t="s">
        <v>244</v>
      </c>
      <c r="I3" s="87" t="s">
        <v>50</v>
      </c>
      <c r="J3" s="87" t="s">
        <v>245</v>
      </c>
      <c r="K3" s="252"/>
      <c r="L3" s="252"/>
      <c r="R3" s="226"/>
    </row>
    <row r="4" spans="2:18" ht="24" customHeight="1" thickBot="1">
      <c r="B4" s="89"/>
      <c r="C4" s="89" t="s">
        <v>51</v>
      </c>
      <c r="D4" s="90">
        <f>X!P9</f>
        <v>22677936000</v>
      </c>
      <c r="E4" s="91">
        <f>E9+E13+E17+E21+E29+E33</f>
        <v>2620000000</v>
      </c>
      <c r="F4" s="90">
        <f>X!V9</f>
        <v>7221203315</v>
      </c>
      <c r="G4" s="90">
        <f>G35</f>
        <v>1508164631</v>
      </c>
      <c r="H4" s="90">
        <f>F4+G4</f>
        <v>8729367946</v>
      </c>
      <c r="I4" s="92">
        <f>I35</f>
        <v>0.38492779704466934</v>
      </c>
      <c r="J4" s="90">
        <f>J35</f>
        <v>13948568054</v>
      </c>
      <c r="K4" s="91">
        <f>G4-E4</f>
        <v>-1111835369</v>
      </c>
      <c r="L4" s="91" t="str">
        <f>IF(G4&gt;=E4,"LEBIH",IF(G4&lt;E4,"KURANG"))</f>
        <v>KURANG</v>
      </c>
      <c r="O4" s="229" t="s">
        <v>363</v>
      </c>
      <c r="P4" s="229" t="s">
        <v>364</v>
      </c>
      <c r="Q4" s="229"/>
    </row>
    <row r="5" spans="2:18" ht="18" customHeight="1" thickTop="1">
      <c r="B5" s="254" t="s">
        <v>246</v>
      </c>
      <c r="C5" s="255"/>
      <c r="D5" s="230"/>
      <c r="E5" s="231"/>
      <c r="F5" s="230"/>
      <c r="G5" s="230"/>
      <c r="H5" s="230"/>
      <c r="I5" s="232"/>
      <c r="J5" s="230"/>
      <c r="K5" s="231"/>
      <c r="L5" s="93"/>
      <c r="M5" s="109">
        <v>52</v>
      </c>
      <c r="N5" s="107" t="s">
        <v>372</v>
      </c>
      <c r="O5" s="215">
        <f>E8+E12+E16+E20+E28</f>
        <v>870000000</v>
      </c>
      <c r="P5" s="215">
        <f>G8+G12+G16+G20+G28</f>
        <v>175715000</v>
      </c>
      <c r="Q5" s="216">
        <f>P5-O5</f>
        <v>-694285000</v>
      </c>
    </row>
    <row r="6" spans="2:18" ht="18" customHeight="1">
      <c r="B6" s="94" t="s">
        <v>247</v>
      </c>
      <c r="C6" s="95" t="s">
        <v>56</v>
      </c>
      <c r="D6" s="233"/>
      <c r="E6" s="233"/>
      <c r="F6" s="233"/>
      <c r="G6" s="233"/>
      <c r="H6" s="233"/>
      <c r="I6" s="234"/>
      <c r="J6" s="233"/>
      <c r="K6" s="233"/>
      <c r="L6" s="96"/>
      <c r="M6" s="109">
        <v>57</v>
      </c>
      <c r="N6" s="249" t="s">
        <v>373</v>
      </c>
      <c r="O6" s="215">
        <f>E7+E11+E15+E19+E25+E32</f>
        <v>450000000</v>
      </c>
      <c r="P6" s="215">
        <f>G7+G11+G15+G19+G25+G32</f>
        <v>232227105</v>
      </c>
      <c r="Q6" s="216">
        <f>P6-O6</f>
        <v>-217772895</v>
      </c>
    </row>
    <row r="7" spans="2:18" ht="18" customHeight="1">
      <c r="B7" s="97" t="s">
        <v>248</v>
      </c>
      <c r="C7" s="98" t="s">
        <v>249</v>
      </c>
      <c r="D7" s="233">
        <f>X!AP12</f>
        <v>372000000</v>
      </c>
      <c r="E7" s="233">
        <v>33813000</v>
      </c>
      <c r="F7" s="233">
        <f>X!AP24</f>
        <v>67030825</v>
      </c>
      <c r="G7" s="233">
        <f>'Monitoring_UP,KKP,TUP'!H60</f>
        <v>36210000</v>
      </c>
      <c r="H7" s="233">
        <f>G7+F7</f>
        <v>103240825</v>
      </c>
      <c r="I7" s="235">
        <f>H7/D7</f>
        <v>0.27752909946236559</v>
      </c>
      <c r="J7" s="233">
        <f>D7-H7</f>
        <v>268759175</v>
      </c>
      <c r="K7" s="233">
        <f t="shared" ref="K7:K22" si="0">G7-E7</f>
        <v>2397000</v>
      </c>
      <c r="L7" s="132" t="str">
        <f>IF(G7&gt;=E7,"LEBIH",IF(G7&lt;E7,"KURANG"))</f>
        <v>LEBIH</v>
      </c>
      <c r="M7" s="109">
        <v>51</v>
      </c>
      <c r="N7" s="107" t="s">
        <v>371</v>
      </c>
      <c r="O7" s="215">
        <f>E31</f>
        <v>1300000000</v>
      </c>
      <c r="P7" s="215">
        <f>G31</f>
        <v>1100222526</v>
      </c>
      <c r="Q7" s="216">
        <f>P7-O7</f>
        <v>-199777474</v>
      </c>
    </row>
    <row r="8" spans="2:18" ht="18" customHeight="1">
      <c r="B8" s="97" t="s">
        <v>250</v>
      </c>
      <c r="C8" s="98" t="s">
        <v>251</v>
      </c>
      <c r="D8" s="233">
        <f>X!AQ12</f>
        <v>1032000000</v>
      </c>
      <c r="E8" s="233">
        <v>120000000</v>
      </c>
      <c r="F8" s="233">
        <f>X!AQ24</f>
        <v>455951900</v>
      </c>
      <c r="G8" s="233">
        <f>Monitoring_LS!M48</f>
        <v>0</v>
      </c>
      <c r="H8" s="233">
        <f>G8+F8</f>
        <v>455951900</v>
      </c>
      <c r="I8" s="235">
        <f>H8/D8</f>
        <v>0.44181385658914729</v>
      </c>
      <c r="J8" s="233">
        <f>D8-H8</f>
        <v>576048100</v>
      </c>
      <c r="K8" s="233">
        <f t="shared" si="0"/>
        <v>-120000000</v>
      </c>
      <c r="L8" s="132" t="str">
        <f t="shared" ref="L8:L33" si="1">IF(G8&gt;=E8,"LEBIH",IF(G8&lt;E8,"KURANG"))</f>
        <v>KURANG</v>
      </c>
      <c r="O8" s="216">
        <f>SUM(O5:O7)</f>
        <v>2620000000</v>
      </c>
      <c r="P8" s="216">
        <f>SUM(P5:P7)</f>
        <v>1508164631</v>
      </c>
      <c r="Q8" s="216">
        <f>P8-O8</f>
        <v>-1111835369</v>
      </c>
    </row>
    <row r="9" spans="2:18" ht="18" customHeight="1">
      <c r="B9" s="97"/>
      <c r="C9" s="95" t="s">
        <v>27</v>
      </c>
      <c r="D9" s="236">
        <f>SUM(D7:D8)</f>
        <v>1404000000</v>
      </c>
      <c r="E9" s="236">
        <f>SUM(E7:E8)</f>
        <v>153813000</v>
      </c>
      <c r="F9" s="236">
        <f>SUM(F7:F8)</f>
        <v>522982725</v>
      </c>
      <c r="G9" s="236">
        <f>SUM(G7:G8)</f>
        <v>36210000</v>
      </c>
      <c r="H9" s="236">
        <f>SUM(H7:H8)</f>
        <v>559192725</v>
      </c>
      <c r="I9" s="237"/>
      <c r="J9" s="236">
        <f>SUM(J7:J8)</f>
        <v>844807275</v>
      </c>
      <c r="K9" s="236">
        <f t="shared" si="0"/>
        <v>-117603000</v>
      </c>
      <c r="L9" s="132" t="str">
        <f t="shared" si="1"/>
        <v>KURANG</v>
      </c>
      <c r="P9" s="215"/>
    </row>
    <row r="10" spans="2:18" ht="18" customHeight="1">
      <c r="B10" s="94" t="s">
        <v>252</v>
      </c>
      <c r="C10" s="95" t="s">
        <v>91</v>
      </c>
      <c r="D10" s="233">
        <v>0</v>
      </c>
      <c r="E10" s="233"/>
      <c r="F10" s="233">
        <v>0</v>
      </c>
      <c r="G10" s="233">
        <v>0</v>
      </c>
      <c r="H10" s="233">
        <f>G10+F10</f>
        <v>0</v>
      </c>
      <c r="I10" s="235"/>
      <c r="J10" s="233">
        <f>D10-H10</f>
        <v>0</v>
      </c>
      <c r="K10" s="233">
        <f t="shared" si="0"/>
        <v>0</v>
      </c>
      <c r="L10" s="132"/>
    </row>
    <row r="11" spans="2:18" ht="18" customHeight="1">
      <c r="B11" s="97" t="s">
        <v>248</v>
      </c>
      <c r="C11" s="98" t="s">
        <v>249</v>
      </c>
      <c r="D11" s="233">
        <f>X!AP13</f>
        <v>1426500000</v>
      </c>
      <c r="E11" s="233">
        <v>91704000</v>
      </c>
      <c r="F11" s="233">
        <f>X!AP25</f>
        <v>313292225</v>
      </c>
      <c r="G11" s="233">
        <f>'Monitoring_UP,KKP,TUP'!H61</f>
        <v>28877249</v>
      </c>
      <c r="H11" s="233">
        <f>G11+F11</f>
        <v>342169474</v>
      </c>
      <c r="I11" s="235">
        <f>H11/D11</f>
        <v>0.23986643813529618</v>
      </c>
      <c r="J11" s="233">
        <f>D11-H11</f>
        <v>1084330526</v>
      </c>
      <c r="K11" s="233">
        <f t="shared" si="0"/>
        <v>-62826751</v>
      </c>
      <c r="L11" s="132" t="str">
        <f t="shared" si="1"/>
        <v>KURANG</v>
      </c>
      <c r="N11" s="229" t="s">
        <v>28</v>
      </c>
      <c r="O11" s="229" t="s">
        <v>363</v>
      </c>
      <c r="P11" s="229" t="s">
        <v>364</v>
      </c>
      <c r="Q11" s="229" t="s">
        <v>365</v>
      </c>
      <c r="R11" s="228" t="s">
        <v>366</v>
      </c>
    </row>
    <row r="12" spans="2:18" ht="18" customHeight="1">
      <c r="B12" s="97" t="s">
        <v>250</v>
      </c>
      <c r="C12" s="98" t="s">
        <v>251</v>
      </c>
      <c r="D12" s="233">
        <f>X!AQ13</f>
        <v>2140570000</v>
      </c>
      <c r="E12" s="233">
        <v>120000000</v>
      </c>
      <c r="F12" s="233">
        <f>X!AQ25</f>
        <v>467759400</v>
      </c>
      <c r="G12" s="233">
        <f>Monitoring_LS!M49</f>
        <v>58400000</v>
      </c>
      <c r="H12" s="233">
        <f>G12+F12</f>
        <v>526159400</v>
      </c>
      <c r="I12" s="235">
        <f>H12/D12</f>
        <v>0.24580340750360885</v>
      </c>
      <c r="J12" s="233">
        <f>D12-H12</f>
        <v>1614410600</v>
      </c>
      <c r="K12" s="233">
        <f t="shared" si="0"/>
        <v>-61600000</v>
      </c>
      <c r="L12" s="132" t="str">
        <f t="shared" si="1"/>
        <v>KURANG</v>
      </c>
      <c r="N12" s="224" t="s">
        <v>22</v>
      </c>
      <c r="O12" s="215">
        <f>E9</f>
        <v>153813000</v>
      </c>
      <c r="P12" s="215">
        <f>G9</f>
        <v>36210000</v>
      </c>
      <c r="Q12" s="215">
        <f>P12-O12</f>
        <v>-117603000</v>
      </c>
      <c r="R12" s="227">
        <f>P12/O12</f>
        <v>0.23541573209026545</v>
      </c>
    </row>
    <row r="13" spans="2:18" ht="18" customHeight="1">
      <c r="B13" s="97"/>
      <c r="C13" s="95" t="s">
        <v>27</v>
      </c>
      <c r="D13" s="236">
        <f>SUM(D11:D12)</f>
        <v>3567070000</v>
      </c>
      <c r="E13" s="236">
        <f>SUM(E11:E12)</f>
        <v>211704000</v>
      </c>
      <c r="F13" s="236">
        <f>SUM(F11:F12)</f>
        <v>781051625</v>
      </c>
      <c r="G13" s="236">
        <f>SUM(G11:G12)</f>
        <v>87277249</v>
      </c>
      <c r="H13" s="236">
        <f>SUM(H11:H12)</f>
        <v>868328874</v>
      </c>
      <c r="I13" s="237"/>
      <c r="J13" s="236">
        <f>SUM(J11:J12)</f>
        <v>2698741126</v>
      </c>
      <c r="K13" s="236">
        <f t="shared" si="0"/>
        <v>-124426751</v>
      </c>
      <c r="L13" s="132" t="str">
        <f t="shared" si="1"/>
        <v>KURANG</v>
      </c>
      <c r="N13" s="224" t="s">
        <v>23</v>
      </c>
      <c r="O13" s="215">
        <f>E13</f>
        <v>211704000</v>
      </c>
      <c r="P13" s="215">
        <f>G13</f>
        <v>87277249</v>
      </c>
      <c r="Q13" s="215">
        <f t="shared" ref="Q13:Q19" si="2">P13-O13</f>
        <v>-124426751</v>
      </c>
      <c r="R13" s="227">
        <f t="shared" ref="R13:R20" si="3">P13/O13</f>
        <v>0.41226074613611458</v>
      </c>
    </row>
    <row r="14" spans="2:18" ht="18" customHeight="1">
      <c r="B14" s="94" t="s">
        <v>123</v>
      </c>
      <c r="C14" s="95" t="s">
        <v>124</v>
      </c>
      <c r="D14" s="233">
        <v>0</v>
      </c>
      <c r="E14" s="233"/>
      <c r="F14" s="233">
        <v>0</v>
      </c>
      <c r="G14" s="233">
        <v>0</v>
      </c>
      <c r="H14" s="233">
        <f>G14+F14</f>
        <v>0</v>
      </c>
      <c r="I14" s="235"/>
      <c r="J14" s="233">
        <f>D14-H14</f>
        <v>0</v>
      </c>
      <c r="K14" s="233">
        <f t="shared" si="0"/>
        <v>0</v>
      </c>
      <c r="L14" s="132"/>
      <c r="N14" s="224" t="s">
        <v>17</v>
      </c>
      <c r="O14" s="215">
        <f>E17</f>
        <v>156772000</v>
      </c>
      <c r="P14" s="215">
        <f>G17</f>
        <v>99287000</v>
      </c>
      <c r="Q14" s="215">
        <f t="shared" si="2"/>
        <v>-57485000</v>
      </c>
      <c r="R14" s="227">
        <f t="shared" si="3"/>
        <v>0.63332100119919377</v>
      </c>
    </row>
    <row r="15" spans="2:18" ht="18" customHeight="1">
      <c r="B15" s="97" t="s">
        <v>248</v>
      </c>
      <c r="C15" s="98" t="s">
        <v>249</v>
      </c>
      <c r="D15" s="233">
        <f>X!AP14</f>
        <v>480000000</v>
      </c>
      <c r="E15" s="233">
        <v>36772000</v>
      </c>
      <c r="F15" s="233">
        <f>X!AP26</f>
        <v>74506775</v>
      </c>
      <c r="G15" s="233">
        <f>'Monitoring_UP,KKP,TUP'!H62</f>
        <v>40400000</v>
      </c>
      <c r="H15" s="233">
        <f>G15+F15</f>
        <v>114906775</v>
      </c>
      <c r="I15" s="235">
        <f>H15/D15</f>
        <v>0.23938911458333334</v>
      </c>
      <c r="J15" s="233">
        <f>D15-H15</f>
        <v>365093225</v>
      </c>
      <c r="K15" s="233">
        <f t="shared" si="0"/>
        <v>3628000</v>
      </c>
      <c r="L15" s="132" t="str">
        <f t="shared" si="1"/>
        <v>LEBIH</v>
      </c>
      <c r="N15" s="224" t="s">
        <v>24</v>
      </c>
      <c r="O15" s="215">
        <f>E21</f>
        <v>314304000</v>
      </c>
      <c r="P15" s="215">
        <f>G21</f>
        <v>40400000</v>
      </c>
      <c r="Q15" s="215">
        <f t="shared" si="2"/>
        <v>-273904000</v>
      </c>
      <c r="R15" s="227">
        <f t="shared" si="3"/>
        <v>0.12853797597230707</v>
      </c>
    </row>
    <row r="16" spans="2:18" ht="18" customHeight="1">
      <c r="B16" s="97" t="s">
        <v>250</v>
      </c>
      <c r="C16" s="98" t="s">
        <v>251</v>
      </c>
      <c r="D16" s="233">
        <f>X!AQ14</f>
        <v>1320000000</v>
      </c>
      <c r="E16" s="233">
        <v>120000000</v>
      </c>
      <c r="F16" s="233">
        <f>X!AQ26</f>
        <v>633114400</v>
      </c>
      <c r="G16" s="233">
        <f>Monitoring_LS!M50</f>
        <v>58887000</v>
      </c>
      <c r="H16" s="233">
        <f>G16+F16</f>
        <v>692001400</v>
      </c>
      <c r="I16" s="235">
        <f>H16/D16</f>
        <v>0.52424348484848482</v>
      </c>
      <c r="J16" s="233">
        <f>D16-H16</f>
        <v>627998600</v>
      </c>
      <c r="K16" s="233">
        <f t="shared" si="0"/>
        <v>-61113000</v>
      </c>
      <c r="L16" s="132" t="str">
        <f t="shared" si="1"/>
        <v>KURANG</v>
      </c>
      <c r="N16" s="224" t="s">
        <v>25</v>
      </c>
      <c r="O16" s="215">
        <f>E29/2</f>
        <v>141402000</v>
      </c>
      <c r="P16" s="215">
        <f>G29/2</f>
        <v>36702000</v>
      </c>
      <c r="Q16" s="215">
        <f t="shared" si="2"/>
        <v>-104700000</v>
      </c>
      <c r="R16" s="227">
        <f t="shared" si="3"/>
        <v>0.25955785632452155</v>
      </c>
    </row>
    <row r="17" spans="2:18" ht="18" customHeight="1">
      <c r="B17" s="97"/>
      <c r="C17" s="95" t="s">
        <v>27</v>
      </c>
      <c r="D17" s="236">
        <f>SUM(D15:D16)</f>
        <v>1800000000</v>
      </c>
      <c r="E17" s="236">
        <f>SUM(E15:E16)</f>
        <v>156772000</v>
      </c>
      <c r="F17" s="236">
        <f>SUM(F15:F16)</f>
        <v>707621175</v>
      </c>
      <c r="G17" s="236">
        <f>SUM(G15:G16)</f>
        <v>99287000</v>
      </c>
      <c r="H17" s="236">
        <f>SUM(H15:H16)</f>
        <v>806908175</v>
      </c>
      <c r="I17" s="237"/>
      <c r="J17" s="236">
        <f>SUM(J15:J16)</f>
        <v>993091825</v>
      </c>
      <c r="K17" s="236">
        <f t="shared" si="0"/>
        <v>-57485000</v>
      </c>
      <c r="L17" s="132" t="str">
        <f t="shared" si="1"/>
        <v>KURANG</v>
      </c>
      <c r="N17" s="224" t="s">
        <v>26</v>
      </c>
      <c r="O17" s="215">
        <f>E29/2</f>
        <v>141402000</v>
      </c>
      <c r="P17" s="215">
        <f>G29/2</f>
        <v>36702000</v>
      </c>
      <c r="Q17" s="215">
        <f t="shared" si="2"/>
        <v>-104700000</v>
      </c>
      <c r="R17" s="227">
        <f t="shared" si="3"/>
        <v>0.25955785632452155</v>
      </c>
    </row>
    <row r="18" spans="2:18" ht="18" customHeight="1">
      <c r="B18" s="94" t="s">
        <v>131</v>
      </c>
      <c r="C18" s="95" t="s">
        <v>132</v>
      </c>
      <c r="D18" s="233">
        <v>0</v>
      </c>
      <c r="E18" s="233"/>
      <c r="F18" s="233">
        <v>0</v>
      </c>
      <c r="G18" s="233">
        <v>0</v>
      </c>
      <c r="H18" s="233">
        <f>G18+F18</f>
        <v>0</v>
      </c>
      <c r="I18" s="235"/>
      <c r="J18" s="233">
        <f>D18-H18</f>
        <v>0</v>
      </c>
      <c r="K18" s="233">
        <f t="shared" si="0"/>
        <v>0</v>
      </c>
      <c r="L18" s="132"/>
      <c r="N18" s="225" t="s">
        <v>362</v>
      </c>
      <c r="O18" s="215">
        <f>E32</f>
        <v>200603000</v>
      </c>
      <c r="P18" s="215">
        <f>G32</f>
        <v>71363856</v>
      </c>
      <c r="Q18" s="215">
        <f t="shared" si="2"/>
        <v>-129239144</v>
      </c>
      <c r="R18" s="227">
        <f t="shared" si="3"/>
        <v>0.35574670368837952</v>
      </c>
    </row>
    <row r="19" spans="2:18" ht="18" customHeight="1">
      <c r="B19" s="97" t="s">
        <v>248</v>
      </c>
      <c r="C19" s="98" t="s">
        <v>249</v>
      </c>
      <c r="D19" s="233">
        <f>X!AP15</f>
        <v>480000000</v>
      </c>
      <c r="E19" s="233">
        <v>34304000</v>
      </c>
      <c r="F19" s="233">
        <f>X!AP27</f>
        <v>34655575</v>
      </c>
      <c r="G19" s="233">
        <f>'Monitoring_UP,KKP,TUP'!H63</f>
        <v>40400000</v>
      </c>
      <c r="H19" s="233">
        <f>G19+F19</f>
        <v>75055575</v>
      </c>
      <c r="I19" s="235">
        <f>H19/D19</f>
        <v>0.15636578125</v>
      </c>
      <c r="J19" s="233">
        <f>D19-H19</f>
        <v>404944425</v>
      </c>
      <c r="K19" s="233">
        <f t="shared" si="0"/>
        <v>6096000</v>
      </c>
      <c r="L19" s="132" t="str">
        <f t="shared" si="1"/>
        <v>LEBIH</v>
      </c>
      <c r="N19" s="224" t="s">
        <v>21</v>
      </c>
      <c r="O19" s="215">
        <f>E31</f>
        <v>1300000000</v>
      </c>
      <c r="P19" s="215">
        <f>G31</f>
        <v>1100222526</v>
      </c>
      <c r="Q19" s="215">
        <f t="shared" si="2"/>
        <v>-199777474</v>
      </c>
      <c r="R19" s="227">
        <f t="shared" si="3"/>
        <v>0.84632501999999998</v>
      </c>
    </row>
    <row r="20" spans="2:18" ht="18" customHeight="1">
      <c r="B20" s="97" t="s">
        <v>250</v>
      </c>
      <c r="C20" s="98" t="s">
        <v>251</v>
      </c>
      <c r="D20" s="233">
        <f>X!AQ15</f>
        <v>1320000000</v>
      </c>
      <c r="E20" s="233">
        <v>280000000</v>
      </c>
      <c r="F20" s="233">
        <f>X!AQ27</f>
        <v>415718600</v>
      </c>
      <c r="G20" s="233">
        <f>Monitoring_LS!M51</f>
        <v>0</v>
      </c>
      <c r="H20" s="233">
        <f>G20+F20</f>
        <v>415718600</v>
      </c>
      <c r="I20" s="235">
        <f>H20/D20</f>
        <v>0.31493833333333332</v>
      </c>
      <c r="J20" s="233">
        <f>D20-H20</f>
        <v>904281400</v>
      </c>
      <c r="K20" s="233">
        <f t="shared" si="0"/>
        <v>-280000000</v>
      </c>
      <c r="L20" s="132" t="str">
        <f t="shared" si="1"/>
        <v>KURANG</v>
      </c>
      <c r="O20" s="216">
        <f>SUM(O12:O19)</f>
        <v>2620000000</v>
      </c>
      <c r="P20" s="216">
        <f>SUM(P12:P19)</f>
        <v>1508164631</v>
      </c>
      <c r="Q20" s="216">
        <f>SUM(Q12:Q19)</f>
        <v>-1111835369</v>
      </c>
      <c r="R20" s="228">
        <f t="shared" si="3"/>
        <v>0.5756353553435114</v>
      </c>
    </row>
    <row r="21" spans="2:18" ht="18" customHeight="1">
      <c r="B21" s="97"/>
      <c r="C21" s="95" t="s">
        <v>27</v>
      </c>
      <c r="D21" s="236">
        <f>SUM(D19:D20)</f>
        <v>1800000000</v>
      </c>
      <c r="E21" s="236">
        <f>SUM(E19:E20)</f>
        <v>314304000</v>
      </c>
      <c r="F21" s="236">
        <f>SUM(F19:F20)</f>
        <v>450374175</v>
      </c>
      <c r="G21" s="236">
        <f>SUM(G19:G20)</f>
        <v>40400000</v>
      </c>
      <c r="H21" s="236">
        <f>SUM(H19:H20)</f>
        <v>490774175</v>
      </c>
      <c r="I21" s="237"/>
      <c r="J21" s="236">
        <f>SUM(J19:J20)</f>
        <v>1309225825</v>
      </c>
      <c r="K21" s="236">
        <f t="shared" si="0"/>
        <v>-273904000</v>
      </c>
      <c r="L21" s="132" t="str">
        <f t="shared" si="1"/>
        <v>KURANG</v>
      </c>
    </row>
    <row r="22" spans="2:18" ht="18" customHeight="1">
      <c r="B22" s="94" t="s">
        <v>137</v>
      </c>
      <c r="C22" s="95" t="s">
        <v>138</v>
      </c>
      <c r="D22" s="233">
        <v>0</v>
      </c>
      <c r="E22" s="233"/>
      <c r="F22" s="233">
        <v>0</v>
      </c>
      <c r="G22" s="233">
        <v>0</v>
      </c>
      <c r="H22" s="233">
        <f>G22+F22</f>
        <v>0</v>
      </c>
      <c r="I22" s="235"/>
      <c r="J22" s="233">
        <f>D22-H22</f>
        <v>0</v>
      </c>
      <c r="K22" s="233">
        <f t="shared" si="0"/>
        <v>0</v>
      </c>
      <c r="L22" s="132"/>
      <c r="N22" s="229" t="s">
        <v>28</v>
      </c>
      <c r="O22" s="108">
        <v>51</v>
      </c>
      <c r="P22" s="108">
        <v>52</v>
      </c>
      <c r="Q22" s="108">
        <v>57</v>
      </c>
    </row>
    <row r="23" spans="2:18" ht="18" customHeight="1">
      <c r="B23" s="97" t="s">
        <v>248</v>
      </c>
      <c r="C23" s="98" t="s">
        <v>253</v>
      </c>
      <c r="D23" s="233">
        <f>X!AP16</f>
        <v>303000000</v>
      </c>
      <c r="E23" s="233">
        <v>0</v>
      </c>
      <c r="F23" s="233">
        <f>X!AP28</f>
        <v>26210125</v>
      </c>
      <c r="G23" s="233">
        <f>'Monitoring_UP,KKP,TUP'!H64</f>
        <v>12306000</v>
      </c>
      <c r="H23" s="233">
        <f>G23+F23</f>
        <v>38516125</v>
      </c>
      <c r="I23" s="235">
        <f>H23/D23</f>
        <v>0.12711592409240924</v>
      </c>
      <c r="J23" s="233">
        <f>D23-H23</f>
        <v>264483875</v>
      </c>
      <c r="K23" s="233"/>
      <c r="L23" s="132"/>
      <c r="N23" s="224" t="s">
        <v>22</v>
      </c>
      <c r="O23" s="250">
        <v>0</v>
      </c>
      <c r="P23" s="250">
        <f>G7</f>
        <v>36210000</v>
      </c>
      <c r="Q23" s="250">
        <f>G8</f>
        <v>0</v>
      </c>
    </row>
    <row r="24" spans="2:18" ht="18" customHeight="1">
      <c r="B24" s="97" t="s">
        <v>248</v>
      </c>
      <c r="C24" s="98" t="s">
        <v>254</v>
      </c>
      <c r="D24" s="233">
        <f>X!AP17</f>
        <v>192000000</v>
      </c>
      <c r="E24" s="233">
        <v>0</v>
      </c>
      <c r="F24" s="233">
        <f>X!AP29</f>
        <v>19830450</v>
      </c>
      <c r="G24" s="233">
        <f>'Monitoring_UP,KKP,TUP'!H65</f>
        <v>2670000</v>
      </c>
      <c r="H24" s="233">
        <f>G24+F24</f>
        <v>22500450</v>
      </c>
      <c r="I24" s="235">
        <f>H24/D24</f>
        <v>0.11718984374999999</v>
      </c>
      <c r="J24" s="233">
        <f>D24-H24</f>
        <v>169499550</v>
      </c>
      <c r="K24" s="233"/>
      <c r="L24" s="132"/>
      <c r="N24" s="224" t="s">
        <v>23</v>
      </c>
      <c r="O24" s="250">
        <v>0</v>
      </c>
      <c r="P24" s="250">
        <f>G11</f>
        <v>28877249</v>
      </c>
      <c r="Q24" s="250">
        <f>G12</f>
        <v>58400000</v>
      </c>
    </row>
    <row r="25" spans="2:18" ht="18" customHeight="1">
      <c r="B25" s="97"/>
      <c r="C25" s="95" t="s">
        <v>255</v>
      </c>
      <c r="D25" s="236">
        <f>SUM(D23:D24)</f>
        <v>495000000</v>
      </c>
      <c r="E25" s="236">
        <v>52804000</v>
      </c>
      <c r="F25" s="236">
        <f>SUM(F23:F24)</f>
        <v>46040575</v>
      </c>
      <c r="G25" s="236">
        <f>SUM(G23:G24)</f>
        <v>14976000</v>
      </c>
      <c r="H25" s="236">
        <f>SUM(H23:H24)</f>
        <v>61016575</v>
      </c>
      <c r="I25" s="237"/>
      <c r="J25" s="236">
        <f>SUM(J23:J24)</f>
        <v>433983425</v>
      </c>
      <c r="K25" s="236">
        <f>G25-E25</f>
        <v>-37828000</v>
      </c>
      <c r="L25" s="132" t="str">
        <f t="shared" si="1"/>
        <v>KURANG</v>
      </c>
      <c r="N25" s="224" t="s">
        <v>17</v>
      </c>
      <c r="O25" s="250">
        <v>0</v>
      </c>
      <c r="P25" s="250">
        <f>G15</f>
        <v>40400000</v>
      </c>
      <c r="Q25" s="250">
        <f>G16</f>
        <v>58887000</v>
      </c>
    </row>
    <row r="26" spans="2:18" ht="18" customHeight="1">
      <c r="B26" s="97" t="s">
        <v>250</v>
      </c>
      <c r="C26" s="98" t="s">
        <v>256</v>
      </c>
      <c r="D26" s="233">
        <f>X!AQ16</f>
        <v>840000000</v>
      </c>
      <c r="E26" s="233">
        <v>0</v>
      </c>
      <c r="F26" s="233">
        <f>X!AQ28</f>
        <v>238924400</v>
      </c>
      <c r="G26" s="233">
        <f>Monitoring_LS!M52</f>
        <v>58428000</v>
      </c>
      <c r="H26" s="233">
        <f>G26+F26</f>
        <v>297352400</v>
      </c>
      <c r="I26" s="235">
        <f>H26/D26</f>
        <v>0.35399095238095241</v>
      </c>
      <c r="J26" s="233">
        <f>D26-H26</f>
        <v>542647600</v>
      </c>
      <c r="K26" s="233"/>
      <c r="L26" s="132"/>
      <c r="N26" s="224" t="s">
        <v>24</v>
      </c>
      <c r="O26" s="250">
        <v>0</v>
      </c>
      <c r="P26" s="250">
        <f>G19</f>
        <v>40400000</v>
      </c>
      <c r="Q26" s="250">
        <f>G20</f>
        <v>0</v>
      </c>
    </row>
    <row r="27" spans="2:18" ht="18" customHeight="1">
      <c r="B27" s="97" t="s">
        <v>250</v>
      </c>
      <c r="C27" s="98" t="s">
        <v>257</v>
      </c>
      <c r="D27" s="233">
        <f>X!AQ17</f>
        <v>528000000</v>
      </c>
      <c r="E27" s="233">
        <v>0</v>
      </c>
      <c r="F27" s="233">
        <f>X!AQ29</f>
        <v>135337800</v>
      </c>
      <c r="G27" s="233">
        <f>Monitoring_LS!M53</f>
        <v>0</v>
      </c>
      <c r="H27" s="233">
        <f>G27+F27</f>
        <v>135337800</v>
      </c>
      <c r="I27" s="235">
        <f>H27/D27</f>
        <v>0.2563215909090909</v>
      </c>
      <c r="J27" s="233">
        <f>D27-H27</f>
        <v>392662200</v>
      </c>
      <c r="K27" s="233"/>
      <c r="L27" s="132"/>
      <c r="N27" s="224" t="s">
        <v>25</v>
      </c>
      <c r="O27" s="250">
        <v>0</v>
      </c>
      <c r="P27" s="250">
        <f>G23</f>
        <v>12306000</v>
      </c>
      <c r="Q27" s="250">
        <f>G26</f>
        <v>58428000</v>
      </c>
    </row>
    <row r="28" spans="2:18" ht="18" customHeight="1">
      <c r="B28" s="97"/>
      <c r="C28" s="95" t="s">
        <v>258</v>
      </c>
      <c r="D28" s="236">
        <f>SUM(D26:D27)</f>
        <v>1368000000</v>
      </c>
      <c r="E28" s="236">
        <v>230000000</v>
      </c>
      <c r="F28" s="236">
        <f>SUM(F26:F27)</f>
        <v>374262200</v>
      </c>
      <c r="G28" s="236">
        <f>SUM(G26:G27)</f>
        <v>58428000</v>
      </c>
      <c r="H28" s="236">
        <f>SUM(H26:H27)</f>
        <v>432690200</v>
      </c>
      <c r="I28" s="237"/>
      <c r="J28" s="236">
        <f>SUM(J26:J27)</f>
        <v>935309800</v>
      </c>
      <c r="K28" s="236">
        <f t="shared" ref="K28:K33" si="4">G28-E28</f>
        <v>-171572000</v>
      </c>
      <c r="L28" s="132" t="str">
        <f t="shared" si="1"/>
        <v>KURANG</v>
      </c>
      <c r="N28" s="224" t="s">
        <v>26</v>
      </c>
      <c r="O28" s="250">
        <v>0</v>
      </c>
      <c r="P28" s="250">
        <f>G24</f>
        <v>2670000</v>
      </c>
      <c r="Q28" s="250">
        <f>G27</f>
        <v>0</v>
      </c>
    </row>
    <row r="29" spans="2:18" ht="18" customHeight="1">
      <c r="B29" s="97"/>
      <c r="C29" s="95" t="s">
        <v>259</v>
      </c>
      <c r="D29" s="236">
        <f t="shared" ref="D29:J29" si="5">D25+D28</f>
        <v>1863000000</v>
      </c>
      <c r="E29" s="236">
        <f t="shared" si="5"/>
        <v>282804000</v>
      </c>
      <c r="F29" s="236">
        <f t="shared" si="5"/>
        <v>420302775</v>
      </c>
      <c r="G29" s="236">
        <f t="shared" si="5"/>
        <v>73404000</v>
      </c>
      <c r="H29" s="236">
        <f t="shared" si="5"/>
        <v>493706775</v>
      </c>
      <c r="I29" s="237">
        <f t="shared" si="5"/>
        <v>0</v>
      </c>
      <c r="J29" s="236">
        <f t="shared" si="5"/>
        <v>1369293225</v>
      </c>
      <c r="K29" s="236">
        <f t="shared" si="4"/>
        <v>-209400000</v>
      </c>
      <c r="L29" s="132" t="str">
        <f t="shared" si="1"/>
        <v>KURANG</v>
      </c>
      <c r="N29" s="225" t="s">
        <v>362</v>
      </c>
      <c r="O29" s="250">
        <v>0</v>
      </c>
      <c r="P29" s="250">
        <f>G32</f>
        <v>71363856</v>
      </c>
      <c r="Q29" s="250">
        <v>0</v>
      </c>
    </row>
    <row r="30" spans="2:18" ht="18" customHeight="1">
      <c r="B30" s="94" t="s">
        <v>151</v>
      </c>
      <c r="C30" s="95" t="s">
        <v>152</v>
      </c>
      <c r="D30" s="233">
        <v>0</v>
      </c>
      <c r="E30" s="233"/>
      <c r="F30" s="233">
        <v>0</v>
      </c>
      <c r="G30" s="233">
        <v>0</v>
      </c>
      <c r="H30" s="233">
        <f>G30+F30</f>
        <v>0</v>
      </c>
      <c r="I30" s="235"/>
      <c r="J30" s="233">
        <f>D30-H30</f>
        <v>0</v>
      </c>
      <c r="K30" s="233">
        <f t="shared" si="4"/>
        <v>0</v>
      </c>
      <c r="L30" s="132"/>
      <c r="N30" s="224" t="s">
        <v>21</v>
      </c>
      <c r="O30" s="250">
        <f>G31</f>
        <v>1100222526</v>
      </c>
      <c r="P30" s="250">
        <v>0</v>
      </c>
      <c r="Q30" s="250"/>
    </row>
    <row r="31" spans="2:18" ht="18" customHeight="1">
      <c r="B31" s="97" t="s">
        <v>260</v>
      </c>
      <c r="C31" s="98" t="s">
        <v>21</v>
      </c>
      <c r="D31" s="233">
        <f>X!AO18</f>
        <v>8693395000</v>
      </c>
      <c r="E31" s="233">
        <v>1300000000</v>
      </c>
      <c r="F31" s="233">
        <f>X!AO30</f>
        <v>3179883826</v>
      </c>
      <c r="G31" s="233">
        <f>Monitoring_LS!E48</f>
        <v>1100222526</v>
      </c>
      <c r="H31" s="233">
        <f>G31+F31</f>
        <v>4280106352</v>
      </c>
      <c r="I31" s="235">
        <f>H31/D31</f>
        <v>0.49234002964319462</v>
      </c>
      <c r="J31" s="233">
        <f>D31-H31</f>
        <v>4413288648</v>
      </c>
      <c r="K31" s="233">
        <f t="shared" si="4"/>
        <v>-199777474</v>
      </c>
      <c r="L31" s="132" t="str">
        <f t="shared" si="1"/>
        <v>KURANG</v>
      </c>
      <c r="N31" s="229" t="s">
        <v>374</v>
      </c>
      <c r="O31" s="305">
        <f>SUM(O23:O30)</f>
        <v>1100222526</v>
      </c>
      <c r="P31" s="305">
        <f t="shared" ref="P31:Q31" si="6">SUM(P23:P30)</f>
        <v>232227105</v>
      </c>
      <c r="Q31" s="305">
        <f t="shared" si="6"/>
        <v>175715000</v>
      </c>
      <c r="R31" s="306">
        <f>SUM(O31:Q31)</f>
        <v>1508164631</v>
      </c>
    </row>
    <row r="32" spans="2:18" ht="18" customHeight="1">
      <c r="B32" s="97" t="s">
        <v>248</v>
      </c>
      <c r="C32" s="98" t="s">
        <v>249</v>
      </c>
      <c r="D32" s="233">
        <f>X!AP18</f>
        <v>3550471000</v>
      </c>
      <c r="E32" s="233">
        <v>200603000</v>
      </c>
      <c r="F32" s="233">
        <f>X!AP30</f>
        <v>1158987014</v>
      </c>
      <c r="G32" s="233">
        <f>'Monitoring_UP,KKP,TUP'!H66+Monitoring_LS!I48</f>
        <v>71363856</v>
      </c>
      <c r="H32" s="233">
        <f>G32+F32</f>
        <v>1230350870</v>
      </c>
      <c r="I32" s="235">
        <f>H32/D32</f>
        <v>0.34653173339537208</v>
      </c>
      <c r="J32" s="233">
        <f>D32-H32</f>
        <v>2320120130</v>
      </c>
      <c r="K32" s="233">
        <f t="shared" si="4"/>
        <v>-129239144</v>
      </c>
      <c r="L32" s="132" t="str">
        <f>IF(G32&gt;=E32,"LEBIH",IF(G32&lt;E32,"KURANG"))</f>
        <v>KURANG</v>
      </c>
    </row>
    <row r="33" spans="2:12" ht="18" customHeight="1">
      <c r="B33" s="97"/>
      <c r="C33" s="95" t="s">
        <v>27</v>
      </c>
      <c r="D33" s="236">
        <f>SUM(D31:D32)</f>
        <v>12243866000</v>
      </c>
      <c r="E33" s="236">
        <f>SUM(E31:E32)</f>
        <v>1500603000</v>
      </c>
      <c r="F33" s="236">
        <f>SUM(F31:F32)</f>
        <v>4338870840</v>
      </c>
      <c r="G33" s="236">
        <f>SUM(G31:G32)</f>
        <v>1171586382</v>
      </c>
      <c r="H33" s="236">
        <f>SUM(H31:H32)</f>
        <v>5510457222</v>
      </c>
      <c r="I33" s="237"/>
      <c r="J33" s="236">
        <f>SUM(J31:J32)</f>
        <v>6733408778</v>
      </c>
      <c r="K33" s="236">
        <f t="shared" si="4"/>
        <v>-329016618</v>
      </c>
      <c r="L33" s="132" t="str">
        <f t="shared" si="1"/>
        <v>KURANG</v>
      </c>
    </row>
    <row r="34" spans="2:12" ht="18" customHeight="1">
      <c r="B34" s="99"/>
      <c r="C34" s="100"/>
      <c r="D34" s="101"/>
      <c r="E34" s="101"/>
      <c r="F34" s="101"/>
      <c r="G34" s="101"/>
      <c r="H34" s="101"/>
      <c r="I34" s="102"/>
      <c r="J34" s="101"/>
      <c r="K34" s="101"/>
      <c r="L34" s="132"/>
    </row>
    <row r="35" spans="2:12" ht="22.5" customHeight="1" thickBot="1">
      <c r="B35" s="103"/>
      <c r="C35" s="103" t="s">
        <v>272</v>
      </c>
      <c r="D35" s="104">
        <f>D9+D13+D17+D21+D25+D28+D33</f>
        <v>22677936000</v>
      </c>
      <c r="E35" s="104">
        <f>E9+E13+E17+E21+E25+E28+E33</f>
        <v>2620000000</v>
      </c>
      <c r="F35" s="104">
        <f>F9+F13+F17+F21+F25+F28+F33</f>
        <v>7221203315</v>
      </c>
      <c r="G35" s="104">
        <f>G9+G13+G17+G21+G25+G28+G33</f>
        <v>1508164631</v>
      </c>
      <c r="H35" s="104">
        <f>H9+H13+H17+H21+H25+H28+H33</f>
        <v>8729367946</v>
      </c>
      <c r="I35" s="105">
        <f>H35/D35</f>
        <v>0.38492779704466934</v>
      </c>
      <c r="J35" s="104">
        <f>J9+J13+J17+J21+J25+J28+J33</f>
        <v>13948568054</v>
      </c>
      <c r="K35" s="104">
        <f>K9+K13+K17+K21+K29+K33</f>
        <v>-1111835369</v>
      </c>
      <c r="L35" s="106" t="str">
        <f>IF(G32&gt;=E32,"LEBIH",IF(G35&lt;E35,"KURANG"))</f>
        <v>KURANG</v>
      </c>
    </row>
    <row r="36" spans="2:12" ht="16.5" customHeight="1" thickTop="1"/>
  </sheetData>
  <mergeCells count="7">
    <mergeCell ref="L2:L3"/>
    <mergeCell ref="C2:C3"/>
    <mergeCell ref="B5:C5"/>
    <mergeCell ref="B2:B3"/>
    <mergeCell ref="D2:D3"/>
    <mergeCell ref="K2:K3"/>
    <mergeCell ref="F2:J2"/>
  </mergeCells>
  <conditionalFormatting sqref="L1:L2 L4:L34 L36:L1048576">
    <cfRule type="containsText" dxfId="1" priority="1" operator="containsText" text="KURANG">
      <formula>NOT(ISERROR(SEARCH("KURANG",L1)))</formula>
    </cfRule>
    <cfRule type="containsText" dxfId="0" priority="2" operator="containsText" text="LEBIH">
      <formula>NOT(ISERROR(SEARCH("LEBIH",L1)))</formula>
    </cfRule>
  </conditionalFormatting>
  <pageMargins left="0.7" right="0.7" top="0.75" bottom="0.75" header="0.3" footer="0.3"/>
  <ignoredErrors>
    <ignoredError sqref="I35 H4" formula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13"/>
  <sheetViews>
    <sheetView topLeftCell="A119" zoomScale="106" zoomScaleNormal="115" workbookViewId="0">
      <selection activeCell="O5" sqref="O5:Z5"/>
    </sheetView>
  </sheetViews>
  <sheetFormatPr defaultRowHeight="15"/>
  <cols>
    <col min="1" max="1" width="0.140625" customWidth="1"/>
    <col min="2" max="2" width="1.7109375" customWidth="1"/>
    <col min="3" max="3" width="0.7109375" customWidth="1"/>
    <col min="4" max="4" width="0.42578125" customWidth="1"/>
    <col min="5" max="5" width="1.28515625" customWidth="1"/>
    <col min="6" max="6" width="0.7109375" customWidth="1"/>
    <col min="7" max="7" width="0.140625" customWidth="1"/>
    <col min="8" max="8" width="1.28515625" customWidth="1"/>
    <col min="9" max="9" width="0.140625" customWidth="1"/>
    <col min="10" max="10" width="1.28515625" customWidth="1"/>
    <col min="11" max="11" width="2.28515625" customWidth="1"/>
    <col min="12" max="12" width="1.42578125" customWidth="1"/>
    <col min="13" max="13" width="2.85546875" customWidth="1"/>
    <col min="14" max="14" width="6.7109375" customWidth="1"/>
    <col min="15" max="15" width="32" customWidth="1"/>
    <col min="16" max="16" width="0.140625" customWidth="1"/>
    <col min="17" max="17" width="12.42578125" customWidth="1"/>
    <col min="18" max="18" width="0.140625" customWidth="1"/>
    <col min="19" max="19" width="12" customWidth="1"/>
    <col min="20" max="21" width="0.140625" customWidth="1"/>
    <col min="22" max="22" width="12.28515625" customWidth="1"/>
    <col min="23" max="23" width="12.42578125" customWidth="1"/>
    <col min="24" max="25" width="0.140625" customWidth="1"/>
    <col min="26" max="26" width="12.140625" customWidth="1"/>
    <col min="27" max="27" width="0.140625" customWidth="1"/>
    <col min="28" max="28" width="8" customWidth="1"/>
    <col min="29" max="29" width="0.140625" customWidth="1"/>
    <col min="30" max="30" width="6.7109375" customWidth="1"/>
    <col min="31" max="31" width="5.140625" customWidth="1"/>
    <col min="32" max="34" width="0.140625" customWidth="1"/>
    <col min="35" max="37" width="2.140625" customWidth="1"/>
    <col min="38" max="38" width="2.140625" style="1" customWidth="1"/>
    <col min="39" max="39" width="7.28515625" style="13" customWidth="1"/>
    <col min="40" max="40" width="9.140625" style="14" customWidth="1"/>
    <col min="41" max="41" width="15.140625" style="14" customWidth="1"/>
    <col min="42" max="42" width="15.140625" style="15" customWidth="1"/>
    <col min="43" max="43" width="15.140625" style="16" customWidth="1"/>
  </cols>
  <sheetData>
    <row r="1" spans="1:43" ht="15" customHeight="1">
      <c r="A1" s="301" t="s">
        <v>29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2"/>
    </row>
    <row r="2" spans="1:43" ht="12.95" customHeight="1">
      <c r="A2" s="302" t="s">
        <v>30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2"/>
      <c r="AH2" s="2"/>
    </row>
    <row r="3" spans="1:43" ht="12.95" customHeight="1">
      <c r="A3" s="303" t="s">
        <v>276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2"/>
      <c r="AG3" s="2"/>
      <c r="AH3" s="2"/>
    </row>
    <row r="4" spans="1:43" ht="15" customHeight="1">
      <c r="A4" s="289" t="s">
        <v>31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3" t="s">
        <v>32</v>
      </c>
      <c r="O4" s="289" t="s">
        <v>33</v>
      </c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"/>
      <c r="AC4" s="2"/>
      <c r="AD4" s="2"/>
      <c r="AE4" s="2"/>
      <c r="AF4" s="2"/>
      <c r="AG4" s="2"/>
      <c r="AH4" s="2"/>
    </row>
    <row r="5" spans="1:43" ht="15" customHeight="1">
      <c r="A5" s="289" t="s">
        <v>34</v>
      </c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3" t="s">
        <v>35</v>
      </c>
      <c r="O5" s="289" t="s">
        <v>36</v>
      </c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"/>
      <c r="AB5" s="2"/>
      <c r="AC5" s="2"/>
      <c r="AD5" s="2"/>
      <c r="AE5" s="2"/>
      <c r="AF5" s="2"/>
      <c r="AG5" s="2"/>
      <c r="AH5" s="2"/>
    </row>
    <row r="6" spans="1:43" ht="15" customHeight="1">
      <c r="A6" s="289" t="s">
        <v>37</v>
      </c>
      <c r="B6" s="289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3" t="s">
        <v>38</v>
      </c>
      <c r="O6" s="289" t="s">
        <v>39</v>
      </c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"/>
      <c r="AB6" s="304" t="s">
        <v>40</v>
      </c>
      <c r="AC6" s="304"/>
      <c r="AD6" s="304"/>
      <c r="AE6" s="296" t="s">
        <v>41</v>
      </c>
      <c r="AF6" s="296"/>
      <c r="AG6" s="2"/>
      <c r="AH6" s="2"/>
    </row>
    <row r="7" spans="1:43" ht="38.1" customHeight="1">
      <c r="A7" s="285" t="s">
        <v>42</v>
      </c>
      <c r="B7" s="285"/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"/>
      <c r="Q7" s="4" t="s">
        <v>43</v>
      </c>
      <c r="R7" s="2"/>
      <c r="S7" s="4" t="s">
        <v>44</v>
      </c>
      <c r="T7" s="2"/>
      <c r="U7" s="285" t="s">
        <v>45</v>
      </c>
      <c r="V7" s="285"/>
      <c r="W7" s="285"/>
      <c r="X7" s="285"/>
      <c r="Y7" s="285"/>
      <c r="Z7" s="285"/>
      <c r="AA7" s="285"/>
      <c r="AB7" s="285"/>
      <c r="AC7" s="2"/>
      <c r="AD7" s="285" t="s">
        <v>46</v>
      </c>
      <c r="AE7" s="285"/>
      <c r="AF7" s="285"/>
      <c r="AG7" s="285"/>
      <c r="AH7" s="2"/>
    </row>
    <row r="8" spans="1:43" ht="18.9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"/>
      <c r="Q8" s="4"/>
      <c r="R8" s="2"/>
      <c r="S8" s="4"/>
      <c r="T8" s="2"/>
      <c r="U8" s="285" t="s">
        <v>47</v>
      </c>
      <c r="V8" s="285"/>
      <c r="W8" s="4" t="s">
        <v>48</v>
      </c>
      <c r="X8" s="285" t="s">
        <v>49</v>
      </c>
      <c r="Y8" s="285"/>
      <c r="Z8" s="285"/>
      <c r="AA8" s="285" t="s">
        <v>50</v>
      </c>
      <c r="AB8" s="285"/>
      <c r="AC8" s="2"/>
      <c r="AD8" s="4"/>
      <c r="AE8" s="4"/>
      <c r="AF8" s="4"/>
      <c r="AG8" s="4"/>
      <c r="AH8" s="2"/>
    </row>
    <row r="9" spans="1:43" ht="20.100000000000001" customHeight="1">
      <c r="A9" s="287" t="s">
        <v>51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300">
        <v>22677936000</v>
      </c>
      <c r="Q9" s="300"/>
      <c r="R9" s="300">
        <v>0</v>
      </c>
      <c r="S9" s="300"/>
      <c r="T9" s="300"/>
      <c r="U9" s="300"/>
      <c r="V9" s="5">
        <v>7221203315</v>
      </c>
      <c r="W9" s="5">
        <v>551000264</v>
      </c>
      <c r="X9" s="300">
        <v>7772203579</v>
      </c>
      <c r="Y9" s="300"/>
      <c r="Z9" s="300"/>
      <c r="AA9" s="300"/>
      <c r="AB9" s="6">
        <v>0.34272094157951588</v>
      </c>
      <c r="AC9" s="300">
        <v>14905732421</v>
      </c>
      <c r="AD9" s="300"/>
      <c r="AE9" s="300"/>
      <c r="AF9" s="300"/>
      <c r="AG9" s="300"/>
      <c r="AH9" s="300"/>
    </row>
    <row r="10" spans="1:43" ht="14.45" customHeight="1">
      <c r="A10" s="2"/>
      <c r="B10" s="283" t="s">
        <v>52</v>
      </c>
      <c r="C10" s="283"/>
      <c r="D10" s="283" t="s">
        <v>53</v>
      </c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79">
        <v>10434070000</v>
      </c>
      <c r="Q10" s="279"/>
      <c r="R10" s="279">
        <v>0</v>
      </c>
      <c r="S10" s="279"/>
      <c r="T10" s="279"/>
      <c r="U10" s="279"/>
      <c r="V10" s="7">
        <v>2882332475</v>
      </c>
      <c r="W10" s="279">
        <v>38690000</v>
      </c>
      <c r="X10" s="279"/>
      <c r="Y10" s="279">
        <v>2921022475</v>
      </c>
      <c r="Z10" s="279"/>
      <c r="AA10" s="279"/>
      <c r="AB10" s="282">
        <v>0.27995043880288323</v>
      </c>
      <c r="AC10" s="282"/>
      <c r="AD10" s="279">
        <v>7513047525</v>
      </c>
      <c r="AE10" s="279"/>
      <c r="AF10" s="279"/>
      <c r="AG10" s="279"/>
      <c r="AH10" s="279"/>
      <c r="AM10" s="292" t="s">
        <v>54</v>
      </c>
      <c r="AN10" s="293"/>
      <c r="AO10" s="293"/>
      <c r="AP10" s="17"/>
      <c r="AQ10" s="17"/>
    </row>
    <row r="11" spans="1:43" ht="14.45" customHeight="1">
      <c r="A11" s="2"/>
      <c r="B11" s="283" t="s">
        <v>55</v>
      </c>
      <c r="C11" s="283"/>
      <c r="D11" s="283"/>
      <c r="E11" s="283"/>
      <c r="F11" s="283"/>
      <c r="G11" s="283"/>
      <c r="H11" s="283"/>
      <c r="I11" s="283" t="s">
        <v>56</v>
      </c>
      <c r="J11" s="283"/>
      <c r="K11" s="283"/>
      <c r="L11" s="283"/>
      <c r="M11" s="283"/>
      <c r="N11" s="283"/>
      <c r="O11" s="283"/>
      <c r="P11" s="279">
        <v>1404000000</v>
      </c>
      <c r="Q11" s="279"/>
      <c r="R11" s="279">
        <v>0</v>
      </c>
      <c r="S11" s="279"/>
      <c r="T11" s="279"/>
      <c r="U11" s="279"/>
      <c r="V11" s="7">
        <v>522982725</v>
      </c>
      <c r="W11" s="279">
        <v>0</v>
      </c>
      <c r="X11" s="279"/>
      <c r="Y11" s="279">
        <v>522982725</v>
      </c>
      <c r="Z11" s="279"/>
      <c r="AA11" s="279"/>
      <c r="AB11" s="282">
        <v>0.37249481837606835</v>
      </c>
      <c r="AC11" s="282"/>
      <c r="AD11" s="279">
        <v>881017275</v>
      </c>
      <c r="AE11" s="279"/>
      <c r="AF11" s="279"/>
      <c r="AG11" s="279"/>
      <c r="AH11" s="279"/>
      <c r="AM11" s="24"/>
      <c r="AN11" s="24"/>
      <c r="AO11" s="25">
        <v>51</v>
      </c>
      <c r="AP11" s="26">
        <v>52</v>
      </c>
      <c r="AQ11" s="26">
        <v>57</v>
      </c>
    </row>
    <row r="12" spans="1:43" ht="14.45" customHeight="1">
      <c r="A12" s="2"/>
      <c r="B12" s="2"/>
      <c r="C12" s="295" t="s">
        <v>57</v>
      </c>
      <c r="D12" s="295"/>
      <c r="E12" s="295"/>
      <c r="F12" s="295"/>
      <c r="G12" s="295" t="s">
        <v>58</v>
      </c>
      <c r="H12" s="295"/>
      <c r="I12" s="295"/>
      <c r="J12" s="295"/>
      <c r="K12" s="295"/>
      <c r="L12" s="295"/>
      <c r="M12" s="295"/>
      <c r="N12" s="295"/>
      <c r="O12" s="295"/>
      <c r="P12" s="280">
        <v>1404000000</v>
      </c>
      <c r="Q12" s="280"/>
      <c r="R12" s="280">
        <v>0</v>
      </c>
      <c r="S12" s="280"/>
      <c r="T12" s="280"/>
      <c r="U12" s="280"/>
      <c r="V12" s="8">
        <v>522982725</v>
      </c>
      <c r="W12" s="280">
        <v>0</v>
      </c>
      <c r="X12" s="280"/>
      <c r="Y12" s="280">
        <v>522982725</v>
      </c>
      <c r="Z12" s="280"/>
      <c r="AA12" s="280"/>
      <c r="AB12" s="298">
        <v>0.37249481837606835</v>
      </c>
      <c r="AC12" s="298"/>
      <c r="AD12" s="280">
        <v>881017275</v>
      </c>
      <c r="AE12" s="280"/>
      <c r="AF12" s="280"/>
      <c r="AG12" s="280"/>
      <c r="AH12" s="280"/>
      <c r="AM12" s="18">
        <v>6277</v>
      </c>
      <c r="AN12" s="18"/>
      <c r="AO12" s="18"/>
      <c r="AP12" s="19">
        <f>P15+P23+P29</f>
        <v>372000000</v>
      </c>
      <c r="AQ12" s="19">
        <f>P19</f>
        <v>1032000000</v>
      </c>
    </row>
    <row r="13" spans="1:43" ht="14.45" customHeight="1">
      <c r="A13" s="2"/>
      <c r="B13" s="2"/>
      <c r="C13" s="288" t="s">
        <v>59</v>
      </c>
      <c r="D13" s="288"/>
      <c r="E13" s="288"/>
      <c r="F13" s="288"/>
      <c r="G13" s="288"/>
      <c r="H13" s="288"/>
      <c r="I13" s="288"/>
      <c r="J13" s="288"/>
      <c r="K13" s="297" t="s">
        <v>60</v>
      </c>
      <c r="L13" s="297"/>
      <c r="M13" s="297"/>
      <c r="N13" s="297"/>
      <c r="O13" s="297"/>
      <c r="P13" s="281">
        <v>1404000000</v>
      </c>
      <c r="Q13" s="281"/>
      <c r="R13" s="281">
        <v>0</v>
      </c>
      <c r="S13" s="281"/>
      <c r="T13" s="281"/>
      <c r="U13" s="281"/>
      <c r="V13" s="9">
        <v>522982725</v>
      </c>
      <c r="W13" s="299">
        <v>0</v>
      </c>
      <c r="X13" s="299"/>
      <c r="Y13" s="281">
        <v>522982725</v>
      </c>
      <c r="Z13" s="281"/>
      <c r="AA13" s="281"/>
      <c r="AB13" s="291">
        <v>0.37249481837606835</v>
      </c>
      <c r="AC13" s="291"/>
      <c r="AD13" s="281">
        <v>881017275</v>
      </c>
      <c r="AE13" s="281"/>
      <c r="AF13" s="281"/>
      <c r="AG13" s="281"/>
      <c r="AH13" s="281"/>
      <c r="AM13" s="18">
        <v>6278</v>
      </c>
      <c r="AN13" s="18"/>
      <c r="AO13" s="18"/>
      <c r="AP13" s="19">
        <f>P37+P45+P52+P59</f>
        <v>1426500000</v>
      </c>
      <c r="AQ13" s="19">
        <f>P49+P65</f>
        <v>2140570000</v>
      </c>
    </row>
    <row r="14" spans="1:43" ht="14.45" customHeight="1">
      <c r="A14" s="2"/>
      <c r="B14" s="2"/>
      <c r="C14" s="2"/>
      <c r="D14" s="2"/>
      <c r="E14" s="286" t="s">
        <v>61</v>
      </c>
      <c r="F14" s="286"/>
      <c r="G14" s="286"/>
      <c r="H14" s="286"/>
      <c r="I14" s="286"/>
      <c r="J14" s="286" t="s">
        <v>62</v>
      </c>
      <c r="K14" s="286"/>
      <c r="L14" s="286"/>
      <c r="M14" s="286"/>
      <c r="N14" s="286"/>
      <c r="O14" s="286"/>
      <c r="P14" s="284">
        <v>128970000</v>
      </c>
      <c r="Q14" s="284"/>
      <c r="R14" s="284">
        <v>0</v>
      </c>
      <c r="S14" s="284"/>
      <c r="T14" s="284"/>
      <c r="U14" s="284"/>
      <c r="V14" s="10">
        <v>19059400</v>
      </c>
      <c r="W14" s="284">
        <v>0</v>
      </c>
      <c r="X14" s="284"/>
      <c r="Y14" s="284">
        <v>19059400</v>
      </c>
      <c r="Z14" s="284"/>
      <c r="AA14" s="284"/>
      <c r="AB14" s="290">
        <v>0.14778165464836784</v>
      </c>
      <c r="AC14" s="290"/>
      <c r="AD14" s="284">
        <v>109910600</v>
      </c>
      <c r="AE14" s="284"/>
      <c r="AF14" s="284"/>
      <c r="AG14" s="284"/>
      <c r="AH14" s="284"/>
      <c r="AM14" s="18">
        <v>6279</v>
      </c>
      <c r="AN14" s="18"/>
      <c r="AO14" s="18"/>
      <c r="AP14" s="19">
        <f>P71+P74+P82+P89</f>
        <v>480000000</v>
      </c>
      <c r="AQ14" s="19">
        <f>P78</f>
        <v>1320000000</v>
      </c>
    </row>
    <row r="15" spans="1:43" ht="14.45" customHeight="1">
      <c r="A15" s="2"/>
      <c r="B15" s="2"/>
      <c r="C15" s="2"/>
      <c r="D15" s="2"/>
      <c r="E15" s="2"/>
      <c r="F15" s="283" t="s">
        <v>63</v>
      </c>
      <c r="G15" s="283"/>
      <c r="H15" s="283"/>
      <c r="I15" s="283"/>
      <c r="J15" s="283"/>
      <c r="K15" s="283"/>
      <c r="L15" s="283" t="s">
        <v>64</v>
      </c>
      <c r="M15" s="283"/>
      <c r="N15" s="283"/>
      <c r="O15" s="283"/>
      <c r="P15" s="279">
        <v>128970000</v>
      </c>
      <c r="Q15" s="279"/>
      <c r="R15" s="279">
        <v>0</v>
      </c>
      <c r="S15" s="279"/>
      <c r="T15" s="279"/>
      <c r="U15" s="279"/>
      <c r="V15" s="7">
        <v>19059400</v>
      </c>
      <c r="W15" s="279">
        <v>0</v>
      </c>
      <c r="X15" s="279"/>
      <c r="Y15" s="279">
        <v>19059400</v>
      </c>
      <c r="Z15" s="279"/>
      <c r="AA15" s="279"/>
      <c r="AB15" s="282">
        <v>0.14778165464836784</v>
      </c>
      <c r="AC15" s="282"/>
      <c r="AD15" s="279">
        <v>109910600</v>
      </c>
      <c r="AE15" s="279"/>
      <c r="AF15" s="279"/>
      <c r="AG15" s="279"/>
      <c r="AH15" s="279"/>
      <c r="AI15" s="11"/>
      <c r="AJ15" s="11"/>
      <c r="AL15" s="12"/>
      <c r="AM15" s="18">
        <v>6280</v>
      </c>
      <c r="AN15" s="18"/>
      <c r="AO15" s="18"/>
      <c r="AP15" s="19">
        <f>P96+P104+P110</f>
        <v>480000000</v>
      </c>
      <c r="AQ15" s="19">
        <f>P100</f>
        <v>1320000000</v>
      </c>
    </row>
    <row r="16" spans="1:43" ht="14.45" customHeight="1">
      <c r="A16" s="2"/>
      <c r="B16" s="2"/>
      <c r="C16" s="2"/>
      <c r="D16" s="2"/>
      <c r="E16" s="2"/>
      <c r="F16" s="2"/>
      <c r="G16" s="2"/>
      <c r="H16" s="283" t="s">
        <v>65</v>
      </c>
      <c r="I16" s="283"/>
      <c r="J16" s="283"/>
      <c r="K16" s="283"/>
      <c r="L16" s="283"/>
      <c r="M16" s="283" t="s">
        <v>66</v>
      </c>
      <c r="N16" s="283"/>
      <c r="O16" s="283"/>
      <c r="P16" s="279">
        <v>78720000</v>
      </c>
      <c r="Q16" s="279"/>
      <c r="R16" s="279">
        <v>0</v>
      </c>
      <c r="S16" s="279"/>
      <c r="T16" s="279"/>
      <c r="U16" s="279"/>
      <c r="V16" s="7">
        <v>15999400</v>
      </c>
      <c r="W16" s="279">
        <v>0</v>
      </c>
      <c r="X16" s="279"/>
      <c r="Y16" s="279">
        <v>15999400</v>
      </c>
      <c r="Z16" s="279"/>
      <c r="AA16" s="279"/>
      <c r="AB16" s="282">
        <v>0.20324441056910569</v>
      </c>
      <c r="AC16" s="282"/>
      <c r="AD16" s="279">
        <v>62720600</v>
      </c>
      <c r="AE16" s="279"/>
      <c r="AF16" s="279"/>
      <c r="AG16" s="279"/>
      <c r="AH16" s="279"/>
      <c r="AM16" s="18">
        <v>7992</v>
      </c>
      <c r="AN16" s="18">
        <v>101</v>
      </c>
      <c r="AO16" s="18"/>
      <c r="AP16" s="19">
        <f>P118+P124+P130</f>
        <v>303000000</v>
      </c>
      <c r="AQ16" s="19">
        <f>P122</f>
        <v>840000000</v>
      </c>
    </row>
    <row r="17" spans="1:43" ht="14.45" customHeight="1">
      <c r="A17" s="2"/>
      <c r="B17" s="2"/>
      <c r="C17" s="2"/>
      <c r="D17" s="2"/>
      <c r="E17" s="2"/>
      <c r="F17" s="2"/>
      <c r="G17" s="2"/>
      <c r="H17" s="283" t="s">
        <v>67</v>
      </c>
      <c r="I17" s="283"/>
      <c r="J17" s="283"/>
      <c r="K17" s="283"/>
      <c r="L17" s="283"/>
      <c r="M17" s="283" t="s">
        <v>68</v>
      </c>
      <c r="N17" s="283"/>
      <c r="O17" s="283"/>
      <c r="P17" s="279">
        <v>50250000</v>
      </c>
      <c r="Q17" s="279"/>
      <c r="R17" s="279">
        <v>0</v>
      </c>
      <c r="S17" s="279"/>
      <c r="T17" s="279"/>
      <c r="U17" s="279"/>
      <c r="V17" s="7">
        <v>3060000</v>
      </c>
      <c r="W17" s="279">
        <v>0</v>
      </c>
      <c r="X17" s="279"/>
      <c r="Y17" s="279">
        <v>3060000</v>
      </c>
      <c r="Z17" s="279"/>
      <c r="AA17" s="279"/>
      <c r="AB17" s="282">
        <v>6.0895522388059703E-2</v>
      </c>
      <c r="AC17" s="282"/>
      <c r="AD17" s="279">
        <v>47190000</v>
      </c>
      <c r="AE17" s="279"/>
      <c r="AF17" s="279"/>
      <c r="AG17" s="279"/>
      <c r="AH17" s="279"/>
      <c r="AM17" s="18"/>
      <c r="AN17" s="18">
        <v>102</v>
      </c>
      <c r="AO17" s="18"/>
      <c r="AP17" s="19">
        <f>P135+P143+P149</f>
        <v>192000000</v>
      </c>
      <c r="AQ17" s="19">
        <f>P140</f>
        <v>528000000</v>
      </c>
    </row>
    <row r="18" spans="1:43" ht="14.45" customHeight="1">
      <c r="A18" s="2"/>
      <c r="B18" s="2"/>
      <c r="C18" s="2"/>
      <c r="D18" s="2"/>
      <c r="E18" s="286" t="s">
        <v>69</v>
      </c>
      <c r="F18" s="286"/>
      <c r="G18" s="286"/>
      <c r="H18" s="286"/>
      <c r="I18" s="286"/>
      <c r="J18" s="286" t="s">
        <v>70</v>
      </c>
      <c r="K18" s="286"/>
      <c r="L18" s="286"/>
      <c r="M18" s="286"/>
      <c r="N18" s="286"/>
      <c r="O18" s="286"/>
      <c r="P18" s="284">
        <v>1206870000</v>
      </c>
      <c r="Q18" s="284"/>
      <c r="R18" s="284">
        <v>0</v>
      </c>
      <c r="S18" s="284"/>
      <c r="T18" s="284"/>
      <c r="U18" s="284"/>
      <c r="V18" s="10">
        <v>503923325</v>
      </c>
      <c r="W18" s="284">
        <v>0</v>
      </c>
      <c r="X18" s="284"/>
      <c r="Y18" s="284">
        <v>503923325</v>
      </c>
      <c r="Z18" s="284"/>
      <c r="AA18" s="284"/>
      <c r="AB18" s="290">
        <v>0.41754565529013066</v>
      </c>
      <c r="AC18" s="290"/>
      <c r="AD18" s="284">
        <v>702946675</v>
      </c>
      <c r="AE18" s="284"/>
      <c r="AF18" s="284"/>
      <c r="AG18" s="284"/>
      <c r="AH18" s="284"/>
      <c r="AM18" s="18">
        <v>6301</v>
      </c>
      <c r="AN18" s="18"/>
      <c r="AO18" s="20">
        <f>P173</f>
        <v>8693395000</v>
      </c>
      <c r="AP18" s="19">
        <f>P156+P159+P198</f>
        <v>3550471000</v>
      </c>
      <c r="AQ18" s="19"/>
    </row>
    <row r="19" spans="1:43" ht="14.45" customHeight="1">
      <c r="A19" s="2"/>
      <c r="B19" s="2"/>
      <c r="C19" s="2"/>
      <c r="D19" s="2"/>
      <c r="E19" s="2"/>
      <c r="F19" s="283" t="s">
        <v>71</v>
      </c>
      <c r="G19" s="283"/>
      <c r="H19" s="283"/>
      <c r="I19" s="283"/>
      <c r="J19" s="283"/>
      <c r="K19" s="283"/>
      <c r="L19" s="283" t="s">
        <v>72</v>
      </c>
      <c r="M19" s="283"/>
      <c r="N19" s="283"/>
      <c r="O19" s="283"/>
      <c r="P19" s="279">
        <v>1032000000</v>
      </c>
      <c r="Q19" s="279"/>
      <c r="R19" s="279">
        <v>0</v>
      </c>
      <c r="S19" s="279"/>
      <c r="T19" s="279"/>
      <c r="U19" s="279"/>
      <c r="V19" s="7">
        <v>455951900</v>
      </c>
      <c r="W19" s="279">
        <v>0</v>
      </c>
      <c r="X19" s="279"/>
      <c r="Y19" s="279">
        <v>455951900</v>
      </c>
      <c r="Z19" s="279"/>
      <c r="AA19" s="279"/>
      <c r="AB19" s="282">
        <v>0.44181385658914729</v>
      </c>
      <c r="AC19" s="282"/>
      <c r="AD19" s="279">
        <v>576048100</v>
      </c>
      <c r="AE19" s="279"/>
      <c r="AF19" s="279"/>
      <c r="AG19" s="279"/>
      <c r="AH19" s="279"/>
      <c r="AI19" s="11"/>
      <c r="AJ19" s="11"/>
      <c r="AL19" s="12"/>
      <c r="AM19" s="24"/>
      <c r="AN19" s="24"/>
      <c r="AO19" s="27">
        <f>SUM(AO12:AO18)</f>
        <v>8693395000</v>
      </c>
      <c r="AP19" s="27">
        <f>SUM(AP12:AP18)</f>
        <v>6803971000</v>
      </c>
      <c r="AQ19" s="27">
        <f>SUM(AQ12:AQ18)</f>
        <v>7180570000</v>
      </c>
    </row>
    <row r="20" spans="1:43" ht="18" customHeight="1">
      <c r="A20" s="2"/>
      <c r="B20" s="2"/>
      <c r="C20" s="2"/>
      <c r="D20" s="2"/>
      <c r="E20" s="2"/>
      <c r="F20" s="2"/>
      <c r="G20" s="2"/>
      <c r="H20" s="283" t="s">
        <v>73</v>
      </c>
      <c r="I20" s="283"/>
      <c r="J20" s="283"/>
      <c r="K20" s="283"/>
      <c r="L20" s="283"/>
      <c r="M20" s="283" t="s">
        <v>74</v>
      </c>
      <c r="N20" s="283"/>
      <c r="O20" s="283"/>
      <c r="P20" s="279">
        <v>240000000</v>
      </c>
      <c r="Q20" s="279"/>
      <c r="R20" s="279">
        <v>0</v>
      </c>
      <c r="S20" s="279"/>
      <c r="T20" s="279"/>
      <c r="U20" s="279"/>
      <c r="V20" s="7">
        <v>0</v>
      </c>
      <c r="W20" s="279">
        <v>0</v>
      </c>
      <c r="X20" s="279"/>
      <c r="Y20" s="279">
        <v>0</v>
      </c>
      <c r="Z20" s="279"/>
      <c r="AA20" s="279"/>
      <c r="AB20" s="282">
        <v>0</v>
      </c>
      <c r="AC20" s="282"/>
      <c r="AD20" s="279">
        <v>240000000</v>
      </c>
      <c r="AE20" s="279"/>
      <c r="AF20" s="279"/>
      <c r="AG20" s="279"/>
      <c r="AH20" s="279"/>
      <c r="AM20" s="18"/>
      <c r="AN20" s="21"/>
      <c r="AO20" s="22">
        <f>SUM(AO19:AQ19)</f>
        <v>22677936000</v>
      </c>
      <c r="AP20" s="19"/>
      <c r="AQ20" s="23"/>
    </row>
    <row r="21" spans="1:43" ht="18" customHeight="1">
      <c r="A21" s="2"/>
      <c r="B21" s="2"/>
      <c r="C21" s="2"/>
      <c r="D21" s="2"/>
      <c r="E21" s="2"/>
      <c r="F21" s="2"/>
      <c r="G21" s="2"/>
      <c r="H21" s="283" t="s">
        <v>75</v>
      </c>
      <c r="I21" s="283"/>
      <c r="J21" s="283"/>
      <c r="K21" s="283"/>
      <c r="L21" s="283"/>
      <c r="M21" s="283" t="s">
        <v>76</v>
      </c>
      <c r="N21" s="283"/>
      <c r="O21" s="283"/>
      <c r="P21" s="279">
        <v>720000000</v>
      </c>
      <c r="Q21" s="279"/>
      <c r="R21" s="279">
        <v>0</v>
      </c>
      <c r="S21" s="279"/>
      <c r="T21" s="279"/>
      <c r="U21" s="279"/>
      <c r="V21" s="7">
        <v>455951900</v>
      </c>
      <c r="W21" s="279">
        <v>0</v>
      </c>
      <c r="X21" s="279"/>
      <c r="Y21" s="279">
        <v>455951900</v>
      </c>
      <c r="Z21" s="279"/>
      <c r="AA21" s="279"/>
      <c r="AB21" s="282">
        <v>0.63326652777777781</v>
      </c>
      <c r="AC21" s="282"/>
      <c r="AD21" s="279">
        <v>264048100</v>
      </c>
      <c r="AE21" s="279"/>
      <c r="AF21" s="279"/>
      <c r="AG21" s="279"/>
      <c r="AH21" s="279"/>
    </row>
    <row r="22" spans="1:43" ht="18" customHeight="1">
      <c r="A22" s="2"/>
      <c r="B22" s="2"/>
      <c r="C22" s="2"/>
      <c r="D22" s="2"/>
      <c r="E22" s="2"/>
      <c r="F22" s="2"/>
      <c r="G22" s="2"/>
      <c r="H22" s="283" t="s">
        <v>77</v>
      </c>
      <c r="I22" s="283"/>
      <c r="J22" s="283"/>
      <c r="K22" s="283"/>
      <c r="L22" s="283"/>
      <c r="M22" s="283" t="s">
        <v>78</v>
      </c>
      <c r="N22" s="283"/>
      <c r="O22" s="283"/>
      <c r="P22" s="279">
        <v>72000000</v>
      </c>
      <c r="Q22" s="279"/>
      <c r="R22" s="279">
        <v>0</v>
      </c>
      <c r="S22" s="279"/>
      <c r="T22" s="279"/>
      <c r="U22" s="279"/>
      <c r="V22" s="7">
        <v>0</v>
      </c>
      <c r="W22" s="279">
        <v>0</v>
      </c>
      <c r="X22" s="279"/>
      <c r="Y22" s="279">
        <v>0</v>
      </c>
      <c r="Z22" s="279"/>
      <c r="AA22" s="279"/>
      <c r="AB22" s="282">
        <v>0</v>
      </c>
      <c r="AC22" s="282"/>
      <c r="AD22" s="279">
        <v>72000000</v>
      </c>
      <c r="AE22" s="279"/>
      <c r="AF22" s="279"/>
      <c r="AG22" s="279"/>
      <c r="AH22" s="279"/>
      <c r="AM22" s="292" t="s">
        <v>79</v>
      </c>
      <c r="AN22" s="293"/>
      <c r="AO22" s="293"/>
      <c r="AP22" s="17"/>
      <c r="AQ22" s="17"/>
    </row>
    <row r="23" spans="1:43" ht="14.45" customHeight="1">
      <c r="A23" s="2"/>
      <c r="B23" s="2"/>
      <c r="C23" s="2"/>
      <c r="D23" s="2"/>
      <c r="E23" s="2"/>
      <c r="F23" s="283" t="s">
        <v>80</v>
      </c>
      <c r="G23" s="283"/>
      <c r="H23" s="283"/>
      <c r="I23" s="283"/>
      <c r="J23" s="283"/>
      <c r="K23" s="283"/>
      <c r="L23" s="283" t="s">
        <v>81</v>
      </c>
      <c r="M23" s="283"/>
      <c r="N23" s="283"/>
      <c r="O23" s="283"/>
      <c r="P23" s="279">
        <v>174870000</v>
      </c>
      <c r="Q23" s="279"/>
      <c r="R23" s="279">
        <v>0</v>
      </c>
      <c r="S23" s="279"/>
      <c r="T23" s="279"/>
      <c r="U23" s="279"/>
      <c r="V23" s="7">
        <v>47971425</v>
      </c>
      <c r="W23" s="279">
        <v>0</v>
      </c>
      <c r="X23" s="279"/>
      <c r="Y23" s="279">
        <v>47971425</v>
      </c>
      <c r="Z23" s="279"/>
      <c r="AA23" s="279"/>
      <c r="AB23" s="282">
        <v>0.27432621375879224</v>
      </c>
      <c r="AC23" s="282"/>
      <c r="AD23" s="279">
        <v>126898575</v>
      </c>
      <c r="AE23" s="279"/>
      <c r="AF23" s="279"/>
      <c r="AG23" s="279"/>
      <c r="AH23" s="279"/>
      <c r="AI23" s="11"/>
      <c r="AJ23" s="11"/>
      <c r="AL23" s="12"/>
      <c r="AM23" s="24"/>
      <c r="AN23" s="24"/>
      <c r="AO23" s="25">
        <v>51</v>
      </c>
      <c r="AP23" s="26">
        <v>52</v>
      </c>
      <c r="AQ23" s="26">
        <v>57</v>
      </c>
    </row>
    <row r="24" spans="1:43" ht="14.45" customHeight="1">
      <c r="A24" s="2"/>
      <c r="B24" s="2"/>
      <c r="C24" s="2"/>
      <c r="D24" s="2"/>
      <c r="E24" s="2"/>
      <c r="F24" s="2"/>
      <c r="G24" s="2"/>
      <c r="H24" s="283" t="s">
        <v>82</v>
      </c>
      <c r="I24" s="283"/>
      <c r="J24" s="283"/>
      <c r="K24" s="283"/>
      <c r="L24" s="283"/>
      <c r="M24" s="283" t="s">
        <v>83</v>
      </c>
      <c r="N24" s="283"/>
      <c r="O24" s="283"/>
      <c r="P24" s="279">
        <v>5800000</v>
      </c>
      <c r="Q24" s="279"/>
      <c r="R24" s="279">
        <v>0</v>
      </c>
      <c r="S24" s="279"/>
      <c r="T24" s="279"/>
      <c r="U24" s="279"/>
      <c r="V24" s="7">
        <v>4966425</v>
      </c>
      <c r="W24" s="279">
        <v>0</v>
      </c>
      <c r="X24" s="279"/>
      <c r="Y24" s="279">
        <v>4966425</v>
      </c>
      <c r="Z24" s="279"/>
      <c r="AA24" s="279"/>
      <c r="AB24" s="282">
        <v>0.85628017241379306</v>
      </c>
      <c r="AC24" s="282"/>
      <c r="AD24" s="279">
        <v>833575</v>
      </c>
      <c r="AE24" s="279"/>
      <c r="AF24" s="279"/>
      <c r="AG24" s="279"/>
      <c r="AH24" s="279"/>
      <c r="AM24" s="18">
        <v>6277</v>
      </c>
      <c r="AN24" s="18"/>
      <c r="AO24" s="18"/>
      <c r="AP24" s="19">
        <f>V15+V23+V29</f>
        <v>67030825</v>
      </c>
      <c r="AQ24" s="19">
        <f>V19</f>
        <v>455951900</v>
      </c>
    </row>
    <row r="25" spans="1:43" ht="14.45" customHeight="1">
      <c r="A25" s="2"/>
      <c r="B25" s="2"/>
      <c r="C25" s="2"/>
      <c r="D25" s="2"/>
      <c r="E25" s="2"/>
      <c r="F25" s="2"/>
      <c r="G25" s="2"/>
      <c r="H25" s="283" t="s">
        <v>84</v>
      </c>
      <c r="I25" s="283"/>
      <c r="J25" s="283"/>
      <c r="K25" s="283"/>
      <c r="L25" s="283"/>
      <c r="M25" s="283" t="s">
        <v>85</v>
      </c>
      <c r="N25" s="283"/>
      <c r="O25" s="283"/>
      <c r="P25" s="279">
        <v>40000000</v>
      </c>
      <c r="Q25" s="279"/>
      <c r="R25" s="279">
        <v>0</v>
      </c>
      <c r="S25" s="279"/>
      <c r="T25" s="279"/>
      <c r="U25" s="279"/>
      <c r="V25" s="7">
        <v>11000000</v>
      </c>
      <c r="W25" s="279">
        <v>0</v>
      </c>
      <c r="X25" s="279"/>
      <c r="Y25" s="279">
        <v>11000000</v>
      </c>
      <c r="Z25" s="279"/>
      <c r="AA25" s="279"/>
      <c r="AB25" s="282">
        <v>0.27500000000000002</v>
      </c>
      <c r="AC25" s="282"/>
      <c r="AD25" s="279">
        <v>29000000</v>
      </c>
      <c r="AE25" s="279"/>
      <c r="AF25" s="279"/>
      <c r="AG25" s="279"/>
      <c r="AH25" s="279"/>
      <c r="AM25" s="18">
        <v>6278</v>
      </c>
      <c r="AN25" s="18"/>
      <c r="AO25" s="18"/>
      <c r="AP25" s="19">
        <f>V37+V45+V52+V59</f>
        <v>313292225</v>
      </c>
      <c r="AQ25" s="19">
        <f>V49+V65</f>
        <v>467759400</v>
      </c>
    </row>
    <row r="26" spans="1:43" ht="14.45" customHeight="1">
      <c r="A26" s="2"/>
      <c r="B26" s="2"/>
      <c r="C26" s="2"/>
      <c r="D26" s="2"/>
      <c r="E26" s="2"/>
      <c r="F26" s="2"/>
      <c r="G26" s="2"/>
      <c r="H26" s="283" t="s">
        <v>65</v>
      </c>
      <c r="I26" s="283"/>
      <c r="J26" s="283"/>
      <c r="K26" s="283"/>
      <c r="L26" s="283"/>
      <c r="M26" s="283" t="s">
        <v>66</v>
      </c>
      <c r="N26" s="283"/>
      <c r="O26" s="283"/>
      <c r="P26" s="279">
        <v>78720000</v>
      </c>
      <c r="Q26" s="279"/>
      <c r="R26" s="279">
        <v>0</v>
      </c>
      <c r="S26" s="279"/>
      <c r="T26" s="279"/>
      <c r="U26" s="279"/>
      <c r="V26" s="7">
        <v>26215000</v>
      </c>
      <c r="W26" s="279">
        <v>0</v>
      </c>
      <c r="X26" s="279"/>
      <c r="Y26" s="279">
        <v>26215000</v>
      </c>
      <c r="Z26" s="279"/>
      <c r="AA26" s="279"/>
      <c r="AB26" s="282">
        <v>0.33301575203252032</v>
      </c>
      <c r="AC26" s="282"/>
      <c r="AD26" s="279">
        <v>52505000</v>
      </c>
      <c r="AE26" s="279"/>
      <c r="AF26" s="279"/>
      <c r="AG26" s="279"/>
      <c r="AH26" s="279"/>
      <c r="AM26" s="18">
        <v>6279</v>
      </c>
      <c r="AN26" s="18"/>
      <c r="AO26" s="18"/>
      <c r="AP26" s="19">
        <f>V71+V74+V82+V89</f>
        <v>74506775</v>
      </c>
      <c r="AQ26" s="19">
        <f>V78</f>
        <v>633114400</v>
      </c>
    </row>
    <row r="27" spans="1:43" ht="14.45" customHeight="1">
      <c r="A27" s="2"/>
      <c r="B27" s="2"/>
      <c r="C27" s="2"/>
      <c r="D27" s="2"/>
      <c r="E27" s="2"/>
      <c r="F27" s="2"/>
      <c r="G27" s="2"/>
      <c r="H27" s="283" t="s">
        <v>67</v>
      </c>
      <c r="I27" s="283"/>
      <c r="J27" s="283"/>
      <c r="K27" s="283"/>
      <c r="L27" s="283"/>
      <c r="M27" s="283" t="s">
        <v>68</v>
      </c>
      <c r="N27" s="283"/>
      <c r="O27" s="283"/>
      <c r="P27" s="279">
        <v>50350000</v>
      </c>
      <c r="Q27" s="279"/>
      <c r="R27" s="279">
        <v>0</v>
      </c>
      <c r="S27" s="279"/>
      <c r="T27" s="279"/>
      <c r="U27" s="279"/>
      <c r="V27" s="7">
        <v>5790000</v>
      </c>
      <c r="W27" s="279">
        <v>0</v>
      </c>
      <c r="X27" s="279"/>
      <c r="Y27" s="279">
        <v>5790000</v>
      </c>
      <c r="Z27" s="279"/>
      <c r="AA27" s="279"/>
      <c r="AB27" s="282">
        <v>0.11499503475670309</v>
      </c>
      <c r="AC27" s="282"/>
      <c r="AD27" s="279">
        <v>44560000</v>
      </c>
      <c r="AE27" s="279"/>
      <c r="AF27" s="279"/>
      <c r="AG27" s="279"/>
      <c r="AH27" s="279"/>
      <c r="AM27" s="18">
        <v>6280</v>
      </c>
      <c r="AN27" s="18"/>
      <c r="AO27" s="18"/>
      <c r="AP27" s="19">
        <f>V96+V104+V110</f>
        <v>34655575</v>
      </c>
      <c r="AQ27" s="19">
        <f>V100</f>
        <v>415718600</v>
      </c>
    </row>
    <row r="28" spans="1:43" ht="14.45" customHeight="1">
      <c r="A28" s="2"/>
      <c r="B28" s="2"/>
      <c r="C28" s="2"/>
      <c r="D28" s="2"/>
      <c r="E28" s="286" t="s">
        <v>86</v>
      </c>
      <c r="F28" s="286"/>
      <c r="G28" s="286"/>
      <c r="H28" s="286"/>
      <c r="I28" s="286"/>
      <c r="J28" s="286" t="s">
        <v>87</v>
      </c>
      <c r="K28" s="286"/>
      <c r="L28" s="286"/>
      <c r="M28" s="286"/>
      <c r="N28" s="286"/>
      <c r="O28" s="286"/>
      <c r="P28" s="284">
        <v>68160000</v>
      </c>
      <c r="Q28" s="284"/>
      <c r="R28" s="284">
        <v>0</v>
      </c>
      <c r="S28" s="284"/>
      <c r="T28" s="284"/>
      <c r="U28" s="284"/>
      <c r="V28" s="10">
        <v>0</v>
      </c>
      <c r="W28" s="284">
        <v>0</v>
      </c>
      <c r="X28" s="284"/>
      <c r="Y28" s="284">
        <v>0</v>
      </c>
      <c r="Z28" s="284"/>
      <c r="AA28" s="284"/>
      <c r="AB28" s="290">
        <v>0</v>
      </c>
      <c r="AC28" s="290"/>
      <c r="AD28" s="284">
        <v>68160000</v>
      </c>
      <c r="AE28" s="284"/>
      <c r="AF28" s="284"/>
      <c r="AG28" s="284"/>
      <c r="AH28" s="284"/>
      <c r="AM28" s="18">
        <v>7992</v>
      </c>
      <c r="AN28" s="18">
        <v>101</v>
      </c>
      <c r="AO28" s="18"/>
      <c r="AP28" s="19">
        <f>V118+V124+V130</f>
        <v>26210125</v>
      </c>
      <c r="AQ28" s="19">
        <f>V122</f>
        <v>238924400</v>
      </c>
    </row>
    <row r="29" spans="1:43" ht="14.45" customHeight="1">
      <c r="A29" s="2"/>
      <c r="B29" s="2"/>
      <c r="C29" s="2"/>
      <c r="D29" s="2"/>
      <c r="E29" s="2"/>
      <c r="F29" s="283" t="s">
        <v>88</v>
      </c>
      <c r="G29" s="283"/>
      <c r="H29" s="283"/>
      <c r="I29" s="283"/>
      <c r="J29" s="283"/>
      <c r="K29" s="283"/>
      <c r="L29" s="283" t="s">
        <v>89</v>
      </c>
      <c r="M29" s="283"/>
      <c r="N29" s="283"/>
      <c r="O29" s="283"/>
      <c r="P29" s="279">
        <v>68160000</v>
      </c>
      <c r="Q29" s="279"/>
      <c r="R29" s="279">
        <v>0</v>
      </c>
      <c r="S29" s="279"/>
      <c r="T29" s="279"/>
      <c r="U29" s="279"/>
      <c r="V29" s="7">
        <v>0</v>
      </c>
      <c r="W29" s="279">
        <v>0</v>
      </c>
      <c r="X29" s="279"/>
      <c r="Y29" s="279">
        <v>0</v>
      </c>
      <c r="Z29" s="279"/>
      <c r="AA29" s="279"/>
      <c r="AB29" s="282">
        <v>0</v>
      </c>
      <c r="AC29" s="282"/>
      <c r="AD29" s="279">
        <v>68160000</v>
      </c>
      <c r="AE29" s="279"/>
      <c r="AF29" s="279"/>
      <c r="AG29" s="279"/>
      <c r="AH29" s="279"/>
      <c r="AI29" s="11"/>
      <c r="AJ29" s="11"/>
      <c r="AL29" s="12"/>
      <c r="AM29" s="18"/>
      <c r="AN29" s="18">
        <v>102</v>
      </c>
      <c r="AO29" s="18"/>
      <c r="AP29" s="19">
        <f>V135+V143+V149</f>
        <v>19830450</v>
      </c>
      <c r="AQ29" s="19">
        <f>V140</f>
        <v>135337800</v>
      </c>
    </row>
    <row r="30" spans="1:43" ht="14.45" customHeight="1">
      <c r="A30" s="2"/>
      <c r="B30" s="2"/>
      <c r="C30" s="2"/>
      <c r="D30" s="2"/>
      <c r="E30" s="2"/>
      <c r="F30" s="2"/>
      <c r="G30" s="2"/>
      <c r="H30" s="283" t="s">
        <v>65</v>
      </c>
      <c r="I30" s="283"/>
      <c r="J30" s="283"/>
      <c r="K30" s="283"/>
      <c r="L30" s="283"/>
      <c r="M30" s="283" t="s">
        <v>66</v>
      </c>
      <c r="N30" s="283"/>
      <c r="O30" s="283"/>
      <c r="P30" s="279">
        <v>39360000</v>
      </c>
      <c r="Q30" s="279"/>
      <c r="R30" s="279">
        <v>0</v>
      </c>
      <c r="S30" s="279"/>
      <c r="T30" s="279"/>
      <c r="U30" s="279"/>
      <c r="V30" s="7">
        <v>0</v>
      </c>
      <c r="W30" s="279">
        <v>0</v>
      </c>
      <c r="X30" s="279"/>
      <c r="Y30" s="279">
        <v>0</v>
      </c>
      <c r="Z30" s="279"/>
      <c r="AA30" s="279"/>
      <c r="AB30" s="282">
        <v>0</v>
      </c>
      <c r="AC30" s="282"/>
      <c r="AD30" s="279">
        <v>39360000</v>
      </c>
      <c r="AE30" s="279"/>
      <c r="AF30" s="279"/>
      <c r="AG30" s="279"/>
      <c r="AH30" s="279"/>
      <c r="AM30" s="18">
        <v>6301</v>
      </c>
      <c r="AN30" s="18"/>
      <c r="AO30" s="20">
        <f>V173</f>
        <v>3179883826</v>
      </c>
      <c r="AP30" s="19">
        <f>V156+V159+V198</f>
        <v>1158987014</v>
      </c>
      <c r="AQ30" s="19"/>
    </row>
    <row r="31" spans="1:43" ht="14.45" customHeight="1">
      <c r="A31" s="2"/>
      <c r="B31" s="2"/>
      <c r="C31" s="2"/>
      <c r="D31" s="2"/>
      <c r="E31" s="2"/>
      <c r="F31" s="2"/>
      <c r="G31" s="2"/>
      <c r="H31" s="283" t="s">
        <v>67</v>
      </c>
      <c r="I31" s="283"/>
      <c r="J31" s="283"/>
      <c r="K31" s="283"/>
      <c r="L31" s="283"/>
      <c r="M31" s="283" t="s">
        <v>68</v>
      </c>
      <c r="N31" s="283"/>
      <c r="O31" s="283"/>
      <c r="P31" s="279">
        <v>28800000</v>
      </c>
      <c r="Q31" s="279"/>
      <c r="R31" s="279">
        <v>0</v>
      </c>
      <c r="S31" s="279"/>
      <c r="T31" s="279"/>
      <c r="U31" s="279"/>
      <c r="V31" s="7">
        <v>0</v>
      </c>
      <c r="W31" s="279">
        <v>0</v>
      </c>
      <c r="X31" s="279"/>
      <c r="Y31" s="279">
        <v>0</v>
      </c>
      <c r="Z31" s="279"/>
      <c r="AA31" s="279"/>
      <c r="AB31" s="282">
        <v>0</v>
      </c>
      <c r="AC31" s="282"/>
      <c r="AD31" s="279">
        <v>28800000</v>
      </c>
      <c r="AE31" s="279"/>
      <c r="AF31" s="279"/>
      <c r="AG31" s="279"/>
      <c r="AH31" s="279"/>
      <c r="AM31" s="24"/>
      <c r="AN31" s="24"/>
      <c r="AO31" s="27">
        <f>SUM(AO24:AO30)</f>
        <v>3179883826</v>
      </c>
      <c r="AP31" s="27">
        <f>SUM(AP24:AP30)</f>
        <v>1694512989</v>
      </c>
      <c r="AQ31" s="27">
        <f>SUM(AQ24:AQ30)</f>
        <v>2346806500</v>
      </c>
    </row>
    <row r="32" spans="1:43" ht="14.45" customHeight="1">
      <c r="A32" s="2"/>
      <c r="B32" s="283" t="s">
        <v>90</v>
      </c>
      <c r="C32" s="283"/>
      <c r="D32" s="283"/>
      <c r="E32" s="283"/>
      <c r="F32" s="283"/>
      <c r="G32" s="283"/>
      <c r="H32" s="283"/>
      <c r="I32" s="283" t="s">
        <v>91</v>
      </c>
      <c r="J32" s="283"/>
      <c r="K32" s="283"/>
      <c r="L32" s="283"/>
      <c r="M32" s="283"/>
      <c r="N32" s="283"/>
      <c r="O32" s="283"/>
      <c r="P32" s="279">
        <v>3567070000</v>
      </c>
      <c r="Q32" s="279"/>
      <c r="R32" s="279">
        <v>0</v>
      </c>
      <c r="S32" s="279"/>
      <c r="T32" s="279"/>
      <c r="U32" s="279"/>
      <c r="V32" s="7">
        <v>781051625</v>
      </c>
      <c r="W32" s="279">
        <v>38690000</v>
      </c>
      <c r="X32" s="279"/>
      <c r="Y32" s="279">
        <v>819741625</v>
      </c>
      <c r="Z32" s="279"/>
      <c r="AA32" s="279"/>
      <c r="AB32" s="282">
        <v>0.22980811282088662</v>
      </c>
      <c r="AC32" s="282"/>
      <c r="AD32" s="279">
        <v>2747328375</v>
      </c>
      <c r="AE32" s="279"/>
      <c r="AF32" s="279"/>
      <c r="AG32" s="279"/>
      <c r="AH32" s="279"/>
      <c r="AM32" s="18"/>
      <c r="AN32" s="21"/>
      <c r="AO32" s="22">
        <f>SUM(AO31:AQ31)</f>
        <v>7221203315</v>
      </c>
      <c r="AP32" s="19"/>
      <c r="AQ32" s="23"/>
    </row>
    <row r="33" spans="1:43" ht="14.45" customHeight="1">
      <c r="A33" s="2"/>
      <c r="B33" s="2"/>
      <c r="C33" s="295" t="s">
        <v>57</v>
      </c>
      <c r="D33" s="295"/>
      <c r="E33" s="295"/>
      <c r="F33" s="295"/>
      <c r="G33" s="295" t="s">
        <v>58</v>
      </c>
      <c r="H33" s="295"/>
      <c r="I33" s="295"/>
      <c r="J33" s="295"/>
      <c r="K33" s="295"/>
      <c r="L33" s="295"/>
      <c r="M33" s="295"/>
      <c r="N33" s="295"/>
      <c r="O33" s="295"/>
      <c r="P33" s="280">
        <v>2770500000</v>
      </c>
      <c r="Q33" s="280"/>
      <c r="R33" s="280">
        <v>0</v>
      </c>
      <c r="S33" s="280"/>
      <c r="T33" s="280"/>
      <c r="U33" s="280"/>
      <c r="V33" s="8">
        <v>521253625</v>
      </c>
      <c r="W33" s="280">
        <v>38690000</v>
      </c>
      <c r="X33" s="280"/>
      <c r="Y33" s="280">
        <v>559943625</v>
      </c>
      <c r="Z33" s="280"/>
      <c r="AA33" s="280"/>
      <c r="AB33" s="298">
        <v>0.20210923118570656</v>
      </c>
      <c r="AC33" s="298"/>
      <c r="AD33" s="280">
        <v>2210556375</v>
      </c>
      <c r="AE33" s="280"/>
      <c r="AF33" s="280"/>
      <c r="AG33" s="280"/>
      <c r="AH33" s="280"/>
    </row>
    <row r="34" spans="1:43" ht="24" customHeight="1">
      <c r="A34" s="2"/>
      <c r="B34" s="294" t="s">
        <v>92</v>
      </c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  <c r="AC34" s="294"/>
      <c r="AD34" s="294"/>
      <c r="AE34" s="294"/>
      <c r="AF34" s="2"/>
      <c r="AG34" s="2"/>
      <c r="AH34" s="2"/>
      <c r="AM34" s="292" t="s">
        <v>93</v>
      </c>
      <c r="AN34" s="293"/>
      <c r="AO34" s="293"/>
      <c r="AP34" s="17"/>
      <c r="AQ34" s="17"/>
    </row>
    <row r="35" spans="1:43" ht="18" customHeight="1">
      <c r="A35" s="2"/>
      <c r="B35" s="2"/>
      <c r="C35" s="288" t="s">
        <v>59</v>
      </c>
      <c r="D35" s="288"/>
      <c r="E35" s="288"/>
      <c r="F35" s="288"/>
      <c r="G35" s="288"/>
      <c r="H35" s="288"/>
      <c r="I35" s="288"/>
      <c r="J35" s="288"/>
      <c r="K35" s="297" t="s">
        <v>94</v>
      </c>
      <c r="L35" s="297"/>
      <c r="M35" s="297"/>
      <c r="N35" s="297"/>
      <c r="O35" s="297"/>
      <c r="P35" s="281">
        <v>2770500000</v>
      </c>
      <c r="Q35" s="281"/>
      <c r="R35" s="281">
        <v>0</v>
      </c>
      <c r="S35" s="281"/>
      <c r="T35" s="281"/>
      <c r="U35" s="281"/>
      <c r="V35" s="9">
        <v>521253625</v>
      </c>
      <c r="W35" s="299">
        <v>38690000</v>
      </c>
      <c r="X35" s="299"/>
      <c r="Y35" s="281">
        <v>559943625</v>
      </c>
      <c r="Z35" s="281"/>
      <c r="AA35" s="281"/>
      <c r="AB35" s="291">
        <v>0.20210923118570656</v>
      </c>
      <c r="AC35" s="291"/>
      <c r="AD35" s="281">
        <v>2210556375</v>
      </c>
      <c r="AE35" s="281"/>
      <c r="AF35" s="281"/>
      <c r="AG35" s="281"/>
      <c r="AH35" s="281"/>
      <c r="AM35" s="24"/>
      <c r="AN35" s="24"/>
      <c r="AO35" s="25">
        <v>51</v>
      </c>
      <c r="AP35" s="26">
        <v>52</v>
      </c>
      <c r="AQ35" s="26">
        <v>57</v>
      </c>
    </row>
    <row r="36" spans="1:43" ht="14.45" customHeight="1">
      <c r="A36" s="2"/>
      <c r="B36" s="2"/>
      <c r="C36" s="2"/>
      <c r="D36" s="2"/>
      <c r="E36" s="286" t="s">
        <v>95</v>
      </c>
      <c r="F36" s="286"/>
      <c r="G36" s="286"/>
      <c r="H36" s="286"/>
      <c r="I36" s="286"/>
      <c r="J36" s="286" t="s">
        <v>96</v>
      </c>
      <c r="K36" s="286"/>
      <c r="L36" s="286"/>
      <c r="M36" s="286"/>
      <c r="N36" s="286"/>
      <c r="O36" s="286"/>
      <c r="P36" s="284">
        <v>1192000000</v>
      </c>
      <c r="Q36" s="284"/>
      <c r="R36" s="284">
        <v>0</v>
      </c>
      <c r="S36" s="284"/>
      <c r="T36" s="284"/>
      <c r="U36" s="284"/>
      <c r="V36" s="10">
        <v>273743100</v>
      </c>
      <c r="W36" s="284">
        <v>38690000</v>
      </c>
      <c r="X36" s="284"/>
      <c r="Y36" s="284">
        <v>312433100</v>
      </c>
      <c r="Z36" s="284"/>
      <c r="AA36" s="284"/>
      <c r="AB36" s="290">
        <v>0.26210830536912749</v>
      </c>
      <c r="AC36" s="290"/>
      <c r="AD36" s="284">
        <v>879566900</v>
      </c>
      <c r="AE36" s="284"/>
      <c r="AF36" s="284"/>
      <c r="AG36" s="284"/>
      <c r="AH36" s="284"/>
      <c r="AM36" s="18">
        <v>6277</v>
      </c>
      <c r="AN36" s="18"/>
      <c r="AO36" s="18"/>
      <c r="AP36" s="19">
        <f>W15+W23+W29</f>
        <v>0</v>
      </c>
      <c r="AQ36" s="19">
        <f>W19</f>
        <v>0</v>
      </c>
    </row>
    <row r="37" spans="1:43" ht="14.45" customHeight="1">
      <c r="A37" s="2"/>
      <c r="B37" s="2"/>
      <c r="C37" s="2"/>
      <c r="D37" s="2"/>
      <c r="E37" s="2"/>
      <c r="F37" s="283" t="s">
        <v>97</v>
      </c>
      <c r="G37" s="283"/>
      <c r="H37" s="283"/>
      <c r="I37" s="283"/>
      <c r="J37" s="283"/>
      <c r="K37" s="283"/>
      <c r="L37" s="283" t="s">
        <v>98</v>
      </c>
      <c r="M37" s="283"/>
      <c r="N37" s="283"/>
      <c r="O37" s="283"/>
      <c r="P37" s="279">
        <v>1192000000</v>
      </c>
      <c r="Q37" s="279"/>
      <c r="R37" s="279">
        <v>0</v>
      </c>
      <c r="S37" s="279"/>
      <c r="T37" s="279"/>
      <c r="U37" s="279"/>
      <c r="V37" s="7">
        <v>273743100</v>
      </c>
      <c r="W37" s="279">
        <v>38690000</v>
      </c>
      <c r="X37" s="279"/>
      <c r="Y37" s="279">
        <v>312433100</v>
      </c>
      <c r="Z37" s="279"/>
      <c r="AA37" s="279"/>
      <c r="AB37" s="282">
        <v>0.26210830536912749</v>
      </c>
      <c r="AC37" s="282"/>
      <c r="AD37" s="279">
        <v>879566900</v>
      </c>
      <c r="AE37" s="279"/>
      <c r="AF37" s="279"/>
      <c r="AG37" s="279"/>
      <c r="AH37" s="279"/>
      <c r="AI37" s="11"/>
      <c r="AJ37" s="11"/>
      <c r="AL37" s="12"/>
      <c r="AM37" s="18">
        <v>6278</v>
      </c>
      <c r="AN37" s="18"/>
      <c r="AO37" s="18"/>
      <c r="AP37" s="19">
        <f>W37+W45+W52+W59</f>
        <v>38690000</v>
      </c>
      <c r="AQ37" s="19">
        <f>W49+W65</f>
        <v>0</v>
      </c>
    </row>
    <row r="38" spans="1:43" ht="14.45" customHeight="1">
      <c r="A38" s="2"/>
      <c r="B38" s="2"/>
      <c r="C38" s="2"/>
      <c r="D38" s="2"/>
      <c r="E38" s="2"/>
      <c r="F38" s="2"/>
      <c r="G38" s="2"/>
      <c r="H38" s="283" t="s">
        <v>99</v>
      </c>
      <c r="I38" s="283"/>
      <c r="J38" s="283"/>
      <c r="K38" s="283"/>
      <c r="L38" s="283"/>
      <c r="M38" s="283" t="s">
        <v>100</v>
      </c>
      <c r="N38" s="283"/>
      <c r="O38" s="283"/>
      <c r="P38" s="279">
        <v>56730000</v>
      </c>
      <c r="Q38" s="279"/>
      <c r="R38" s="279">
        <v>0</v>
      </c>
      <c r="S38" s="279"/>
      <c r="T38" s="279"/>
      <c r="U38" s="279"/>
      <c r="V38" s="7">
        <v>56460000</v>
      </c>
      <c r="W38" s="279">
        <v>0</v>
      </c>
      <c r="X38" s="279"/>
      <c r="Y38" s="279">
        <v>56460000</v>
      </c>
      <c r="Z38" s="279"/>
      <c r="AA38" s="279"/>
      <c r="AB38" s="282">
        <v>0.99524061343204651</v>
      </c>
      <c r="AC38" s="282"/>
      <c r="AD38" s="279">
        <v>270000</v>
      </c>
      <c r="AE38" s="279"/>
      <c r="AF38" s="279"/>
      <c r="AG38" s="279"/>
      <c r="AH38" s="279"/>
      <c r="AM38" s="18">
        <v>6279</v>
      </c>
      <c r="AN38" s="18"/>
      <c r="AO38" s="18"/>
      <c r="AP38" s="19">
        <f>W71+W74+W82+W89</f>
        <v>0</v>
      </c>
      <c r="AQ38" s="19">
        <f>W78</f>
        <v>0</v>
      </c>
    </row>
    <row r="39" spans="1:43" ht="14.45" customHeight="1">
      <c r="A39" s="2"/>
      <c r="B39" s="2"/>
      <c r="C39" s="2"/>
      <c r="D39" s="2"/>
      <c r="E39" s="2"/>
      <c r="F39" s="2"/>
      <c r="G39" s="2"/>
      <c r="H39" s="283" t="s">
        <v>82</v>
      </c>
      <c r="I39" s="283"/>
      <c r="J39" s="283"/>
      <c r="K39" s="283"/>
      <c r="L39" s="283"/>
      <c r="M39" s="283" t="s">
        <v>83</v>
      </c>
      <c r="N39" s="283"/>
      <c r="O39" s="283"/>
      <c r="P39" s="279">
        <v>182500000</v>
      </c>
      <c r="Q39" s="279"/>
      <c r="R39" s="279">
        <v>0</v>
      </c>
      <c r="S39" s="279"/>
      <c r="T39" s="279"/>
      <c r="U39" s="279"/>
      <c r="V39" s="7">
        <v>37450000</v>
      </c>
      <c r="W39" s="279">
        <v>9740000</v>
      </c>
      <c r="X39" s="279"/>
      <c r="Y39" s="279">
        <v>47190000</v>
      </c>
      <c r="Z39" s="279"/>
      <c r="AA39" s="279"/>
      <c r="AB39" s="282">
        <v>0.25857534246575342</v>
      </c>
      <c r="AC39" s="282"/>
      <c r="AD39" s="279">
        <v>135310000</v>
      </c>
      <c r="AE39" s="279"/>
      <c r="AF39" s="279"/>
      <c r="AG39" s="279"/>
      <c r="AH39" s="279"/>
      <c r="AM39" s="18">
        <v>6280</v>
      </c>
      <c r="AN39" s="18"/>
      <c r="AO39" s="18"/>
      <c r="AP39" s="19">
        <f>W96+W104+W110</f>
        <v>0</v>
      </c>
      <c r="AQ39" s="19">
        <f>W100</f>
        <v>0</v>
      </c>
    </row>
    <row r="40" spans="1:43" ht="14.45" customHeight="1">
      <c r="A40" s="2"/>
      <c r="B40" s="2"/>
      <c r="C40" s="2"/>
      <c r="D40" s="2"/>
      <c r="E40" s="2"/>
      <c r="F40" s="2"/>
      <c r="G40" s="2"/>
      <c r="H40" s="283" t="s">
        <v>101</v>
      </c>
      <c r="I40" s="283"/>
      <c r="J40" s="283"/>
      <c r="K40" s="283"/>
      <c r="L40" s="283"/>
      <c r="M40" s="283" t="s">
        <v>102</v>
      </c>
      <c r="N40" s="283"/>
      <c r="O40" s="283"/>
      <c r="P40" s="279">
        <v>490770000</v>
      </c>
      <c r="Q40" s="279"/>
      <c r="R40" s="279">
        <v>0</v>
      </c>
      <c r="S40" s="279"/>
      <c r="T40" s="279"/>
      <c r="U40" s="279"/>
      <c r="V40" s="7">
        <v>52990000</v>
      </c>
      <c r="W40" s="279">
        <v>28950000</v>
      </c>
      <c r="X40" s="279"/>
      <c r="Y40" s="279">
        <v>81940000</v>
      </c>
      <c r="Z40" s="279"/>
      <c r="AA40" s="279"/>
      <c r="AB40" s="282">
        <v>0.16696212074902703</v>
      </c>
      <c r="AC40" s="282"/>
      <c r="AD40" s="279">
        <v>408830000</v>
      </c>
      <c r="AE40" s="279"/>
      <c r="AF40" s="279"/>
      <c r="AG40" s="279"/>
      <c r="AH40" s="279"/>
      <c r="AM40" s="18">
        <v>7992</v>
      </c>
      <c r="AN40" s="18">
        <v>101</v>
      </c>
      <c r="AO40" s="18"/>
      <c r="AP40" s="19">
        <f>W118+W124+W130</f>
        <v>0</v>
      </c>
      <c r="AQ40" s="19">
        <f>W122</f>
        <v>0</v>
      </c>
    </row>
    <row r="41" spans="1:43" ht="14.45" customHeight="1">
      <c r="A41" s="2"/>
      <c r="B41" s="2"/>
      <c r="C41" s="2"/>
      <c r="D41" s="2"/>
      <c r="E41" s="2"/>
      <c r="F41" s="2"/>
      <c r="G41" s="2"/>
      <c r="H41" s="283" t="s">
        <v>103</v>
      </c>
      <c r="I41" s="283"/>
      <c r="J41" s="283"/>
      <c r="K41" s="283"/>
      <c r="L41" s="283"/>
      <c r="M41" s="283" t="s">
        <v>104</v>
      </c>
      <c r="N41" s="283"/>
      <c r="O41" s="283"/>
      <c r="P41" s="279">
        <v>156000000</v>
      </c>
      <c r="Q41" s="279"/>
      <c r="R41" s="279">
        <v>0</v>
      </c>
      <c r="S41" s="279"/>
      <c r="T41" s="279"/>
      <c r="U41" s="279"/>
      <c r="V41" s="7">
        <v>54025100</v>
      </c>
      <c r="W41" s="279">
        <v>0</v>
      </c>
      <c r="X41" s="279"/>
      <c r="Y41" s="279">
        <v>54025100</v>
      </c>
      <c r="Z41" s="279"/>
      <c r="AA41" s="279"/>
      <c r="AB41" s="282">
        <v>0.34631474358974357</v>
      </c>
      <c r="AC41" s="282"/>
      <c r="AD41" s="279">
        <v>101974900</v>
      </c>
      <c r="AE41" s="279"/>
      <c r="AF41" s="279"/>
      <c r="AG41" s="279"/>
      <c r="AH41" s="279"/>
      <c r="AM41" s="18"/>
      <c r="AN41" s="18">
        <v>102</v>
      </c>
      <c r="AO41" s="18"/>
      <c r="AP41" s="19">
        <f>W135+W143+W149</f>
        <v>0</v>
      </c>
      <c r="AQ41" s="19">
        <f>W140</f>
        <v>0</v>
      </c>
    </row>
    <row r="42" spans="1:43" ht="14.45" customHeight="1">
      <c r="A42" s="2"/>
      <c r="B42" s="2"/>
      <c r="C42" s="2"/>
      <c r="D42" s="2"/>
      <c r="E42" s="2"/>
      <c r="F42" s="2"/>
      <c r="G42" s="2"/>
      <c r="H42" s="283" t="s">
        <v>105</v>
      </c>
      <c r="I42" s="283"/>
      <c r="J42" s="283"/>
      <c r="K42" s="283"/>
      <c r="L42" s="283"/>
      <c r="M42" s="283" t="s">
        <v>106</v>
      </c>
      <c r="N42" s="283"/>
      <c r="O42" s="283"/>
      <c r="P42" s="279">
        <v>60000000</v>
      </c>
      <c r="Q42" s="279"/>
      <c r="R42" s="279">
        <v>0</v>
      </c>
      <c r="S42" s="279"/>
      <c r="T42" s="279"/>
      <c r="U42" s="279"/>
      <c r="V42" s="7">
        <v>27268000</v>
      </c>
      <c r="W42" s="279">
        <v>0</v>
      </c>
      <c r="X42" s="279"/>
      <c r="Y42" s="279">
        <v>27268000</v>
      </c>
      <c r="Z42" s="279"/>
      <c r="AA42" s="279"/>
      <c r="AB42" s="282">
        <v>0.45446666666666669</v>
      </c>
      <c r="AC42" s="282"/>
      <c r="AD42" s="279">
        <v>32732000</v>
      </c>
      <c r="AE42" s="279"/>
      <c r="AF42" s="279"/>
      <c r="AG42" s="279"/>
      <c r="AH42" s="279"/>
      <c r="AM42" s="18">
        <v>6301</v>
      </c>
      <c r="AN42" s="18"/>
      <c r="AO42" s="20">
        <f>W173</f>
        <v>512310264</v>
      </c>
      <c r="AP42" s="19">
        <f>W156+W159+W198</f>
        <v>0</v>
      </c>
      <c r="AQ42" s="19"/>
    </row>
    <row r="43" spans="1:43" ht="14.45" customHeight="1">
      <c r="A43" s="2"/>
      <c r="B43" s="2"/>
      <c r="C43" s="2"/>
      <c r="D43" s="2"/>
      <c r="E43" s="2"/>
      <c r="F43" s="2"/>
      <c r="G43" s="2"/>
      <c r="H43" s="283" t="s">
        <v>107</v>
      </c>
      <c r="I43" s="283"/>
      <c r="J43" s="283"/>
      <c r="K43" s="283"/>
      <c r="L43" s="283"/>
      <c r="M43" s="283" t="s">
        <v>108</v>
      </c>
      <c r="N43" s="283"/>
      <c r="O43" s="283"/>
      <c r="P43" s="279">
        <v>246000000</v>
      </c>
      <c r="Q43" s="279"/>
      <c r="R43" s="279">
        <v>0</v>
      </c>
      <c r="S43" s="279"/>
      <c r="T43" s="279"/>
      <c r="U43" s="279"/>
      <c r="V43" s="7">
        <v>45550000</v>
      </c>
      <c r="W43" s="279">
        <v>0</v>
      </c>
      <c r="X43" s="279"/>
      <c r="Y43" s="279">
        <v>45550000</v>
      </c>
      <c r="Z43" s="279"/>
      <c r="AA43" s="279"/>
      <c r="AB43" s="282">
        <v>0.18516260162601625</v>
      </c>
      <c r="AC43" s="282"/>
      <c r="AD43" s="279">
        <v>200450000</v>
      </c>
      <c r="AE43" s="279"/>
      <c r="AF43" s="279"/>
      <c r="AG43" s="279"/>
      <c r="AH43" s="279"/>
      <c r="AM43" s="24"/>
      <c r="AN43" s="24"/>
      <c r="AO43" s="27">
        <f>SUM(AO36:AO42)</f>
        <v>512310264</v>
      </c>
      <c r="AP43" s="27">
        <f>SUM(AP36:AP42)</f>
        <v>38690000</v>
      </c>
      <c r="AQ43" s="27">
        <f>SUM(AQ36:AQ42)</f>
        <v>0</v>
      </c>
    </row>
    <row r="44" spans="1:43" ht="14.45" customHeight="1">
      <c r="A44" s="2"/>
      <c r="B44" s="2"/>
      <c r="C44" s="2"/>
      <c r="D44" s="2"/>
      <c r="E44" s="286" t="s">
        <v>61</v>
      </c>
      <c r="F44" s="286"/>
      <c r="G44" s="286"/>
      <c r="H44" s="286"/>
      <c r="I44" s="286"/>
      <c r="J44" s="286" t="s">
        <v>62</v>
      </c>
      <c r="K44" s="286"/>
      <c r="L44" s="286"/>
      <c r="M44" s="286"/>
      <c r="N44" s="286"/>
      <c r="O44" s="286"/>
      <c r="P44" s="284">
        <v>76800000</v>
      </c>
      <c r="Q44" s="284"/>
      <c r="R44" s="284">
        <v>0</v>
      </c>
      <c r="S44" s="284"/>
      <c r="T44" s="284"/>
      <c r="U44" s="284"/>
      <c r="V44" s="10">
        <v>6360000</v>
      </c>
      <c r="W44" s="284">
        <v>0</v>
      </c>
      <c r="X44" s="284"/>
      <c r="Y44" s="284">
        <v>6360000</v>
      </c>
      <c r="Z44" s="284"/>
      <c r="AA44" s="284"/>
      <c r="AB44" s="290">
        <v>8.2812499999999997E-2</v>
      </c>
      <c r="AC44" s="290"/>
      <c r="AD44" s="284">
        <v>70440000</v>
      </c>
      <c r="AE44" s="284"/>
      <c r="AF44" s="284"/>
      <c r="AG44" s="284"/>
      <c r="AH44" s="284"/>
      <c r="AM44" s="18"/>
      <c r="AN44" s="21"/>
      <c r="AO44" s="22">
        <f>SUM(AO43:AQ43)</f>
        <v>551000264</v>
      </c>
      <c r="AP44" s="19"/>
      <c r="AQ44" s="23"/>
    </row>
    <row r="45" spans="1:43" ht="14.45" customHeight="1">
      <c r="A45" s="2"/>
      <c r="B45" s="2"/>
      <c r="C45" s="2"/>
      <c r="D45" s="2"/>
      <c r="E45" s="2"/>
      <c r="F45" s="283" t="s">
        <v>63</v>
      </c>
      <c r="G45" s="283"/>
      <c r="H45" s="283"/>
      <c r="I45" s="283"/>
      <c r="J45" s="283"/>
      <c r="K45" s="283"/>
      <c r="L45" s="283" t="s">
        <v>109</v>
      </c>
      <c r="M45" s="283"/>
      <c r="N45" s="283"/>
      <c r="O45" s="283"/>
      <c r="P45" s="279">
        <v>76800000</v>
      </c>
      <c r="Q45" s="279"/>
      <c r="R45" s="279">
        <v>0</v>
      </c>
      <c r="S45" s="279"/>
      <c r="T45" s="279"/>
      <c r="U45" s="279"/>
      <c r="V45" s="7">
        <v>6360000</v>
      </c>
      <c r="W45" s="279">
        <v>0</v>
      </c>
      <c r="X45" s="279"/>
      <c r="Y45" s="279">
        <v>6360000</v>
      </c>
      <c r="Z45" s="279"/>
      <c r="AA45" s="279"/>
      <c r="AB45" s="282">
        <v>8.2812499999999997E-2</v>
      </c>
      <c r="AC45" s="282"/>
      <c r="AD45" s="279">
        <v>70440000</v>
      </c>
      <c r="AE45" s="279"/>
      <c r="AF45" s="279"/>
      <c r="AG45" s="279"/>
      <c r="AH45" s="279"/>
      <c r="AI45" s="11"/>
      <c r="AJ45" s="11"/>
      <c r="AL45" s="12"/>
    </row>
    <row r="46" spans="1:43" ht="14.45" customHeight="1">
      <c r="A46" s="2"/>
      <c r="B46" s="2"/>
      <c r="C46" s="2"/>
      <c r="D46" s="2"/>
      <c r="E46" s="2"/>
      <c r="F46" s="2"/>
      <c r="G46" s="2"/>
      <c r="H46" s="283" t="s">
        <v>65</v>
      </c>
      <c r="I46" s="283"/>
      <c r="J46" s="283"/>
      <c r="K46" s="283"/>
      <c r="L46" s="283"/>
      <c r="M46" s="283" t="s">
        <v>66</v>
      </c>
      <c r="N46" s="283"/>
      <c r="O46" s="283"/>
      <c r="P46" s="279">
        <v>38500000</v>
      </c>
      <c r="Q46" s="279"/>
      <c r="R46" s="279">
        <v>0</v>
      </c>
      <c r="S46" s="279"/>
      <c r="T46" s="279"/>
      <c r="U46" s="279"/>
      <c r="V46" s="7">
        <v>1470000</v>
      </c>
      <c r="W46" s="279">
        <v>0</v>
      </c>
      <c r="X46" s="279"/>
      <c r="Y46" s="279">
        <v>1470000</v>
      </c>
      <c r="Z46" s="279"/>
      <c r="AA46" s="279"/>
      <c r="AB46" s="282">
        <v>3.8181818181818185E-2</v>
      </c>
      <c r="AC46" s="282"/>
      <c r="AD46" s="279">
        <v>37030000</v>
      </c>
      <c r="AE46" s="279"/>
      <c r="AF46" s="279"/>
      <c r="AG46" s="279"/>
      <c r="AH46" s="279"/>
      <c r="AM46" s="292" t="s">
        <v>110</v>
      </c>
      <c r="AN46" s="293"/>
      <c r="AO46" s="293"/>
      <c r="AP46" s="17"/>
      <c r="AQ46" s="17"/>
    </row>
    <row r="47" spans="1:43" ht="14.45" customHeight="1">
      <c r="A47" s="2"/>
      <c r="B47" s="2"/>
      <c r="C47" s="2"/>
      <c r="D47" s="2"/>
      <c r="E47" s="2"/>
      <c r="F47" s="2"/>
      <c r="G47" s="2"/>
      <c r="H47" s="283" t="s">
        <v>67</v>
      </c>
      <c r="I47" s="283"/>
      <c r="J47" s="283"/>
      <c r="K47" s="283"/>
      <c r="L47" s="283"/>
      <c r="M47" s="283" t="s">
        <v>68</v>
      </c>
      <c r="N47" s="283"/>
      <c r="O47" s="283"/>
      <c r="P47" s="279">
        <v>38300000</v>
      </c>
      <c r="Q47" s="279"/>
      <c r="R47" s="279">
        <v>0</v>
      </c>
      <c r="S47" s="279"/>
      <c r="T47" s="279"/>
      <c r="U47" s="279"/>
      <c r="V47" s="7">
        <v>4890000</v>
      </c>
      <c r="W47" s="279">
        <v>0</v>
      </c>
      <c r="X47" s="279"/>
      <c r="Y47" s="279">
        <v>4890000</v>
      </c>
      <c r="Z47" s="279"/>
      <c r="AA47" s="279"/>
      <c r="AB47" s="282">
        <v>0.12767624020887727</v>
      </c>
      <c r="AC47" s="282"/>
      <c r="AD47" s="279">
        <v>33410000</v>
      </c>
      <c r="AE47" s="279"/>
      <c r="AF47" s="279"/>
      <c r="AG47" s="279"/>
      <c r="AH47" s="279"/>
      <c r="AM47" s="24"/>
      <c r="AN47" s="24"/>
      <c r="AO47" s="25">
        <v>51</v>
      </c>
      <c r="AP47" s="26">
        <v>52</v>
      </c>
      <c r="AQ47" s="26">
        <v>57</v>
      </c>
    </row>
    <row r="48" spans="1:43" ht="14.45" customHeight="1">
      <c r="A48" s="2"/>
      <c r="B48" s="2"/>
      <c r="C48" s="2"/>
      <c r="D48" s="2"/>
      <c r="E48" s="286" t="s">
        <v>69</v>
      </c>
      <c r="F48" s="286"/>
      <c r="G48" s="286"/>
      <c r="H48" s="286"/>
      <c r="I48" s="286"/>
      <c r="J48" s="286" t="s">
        <v>70</v>
      </c>
      <c r="K48" s="286"/>
      <c r="L48" s="286"/>
      <c r="M48" s="286"/>
      <c r="N48" s="286"/>
      <c r="O48" s="286"/>
      <c r="P48" s="284">
        <v>1480200000</v>
      </c>
      <c r="Q48" s="284"/>
      <c r="R48" s="284">
        <v>0</v>
      </c>
      <c r="S48" s="284"/>
      <c r="T48" s="284"/>
      <c r="U48" s="284"/>
      <c r="V48" s="10">
        <v>241150525</v>
      </c>
      <c r="W48" s="284">
        <v>0</v>
      </c>
      <c r="X48" s="284"/>
      <c r="Y48" s="284">
        <v>241150525</v>
      </c>
      <c r="Z48" s="284"/>
      <c r="AA48" s="284"/>
      <c r="AB48" s="290">
        <v>0.1629175280367518</v>
      </c>
      <c r="AC48" s="290"/>
      <c r="AD48" s="284">
        <v>1239049475</v>
      </c>
      <c r="AE48" s="284"/>
      <c r="AF48" s="284"/>
      <c r="AG48" s="284"/>
      <c r="AH48" s="284"/>
      <c r="AM48" s="18">
        <v>6277</v>
      </c>
      <c r="AN48" s="18"/>
      <c r="AO48" s="18"/>
      <c r="AP48" s="19">
        <f>Y15+Y23+Y29</f>
        <v>67030825</v>
      </c>
      <c r="AQ48" s="19">
        <f>Y19</f>
        <v>455951900</v>
      </c>
    </row>
    <row r="49" spans="1:43" ht="14.45" customHeight="1">
      <c r="A49" s="2"/>
      <c r="B49" s="2"/>
      <c r="C49" s="2"/>
      <c r="D49" s="2"/>
      <c r="E49" s="2"/>
      <c r="F49" s="283" t="s">
        <v>71</v>
      </c>
      <c r="G49" s="283"/>
      <c r="H49" s="283"/>
      <c r="I49" s="283"/>
      <c r="J49" s="283"/>
      <c r="K49" s="283"/>
      <c r="L49" s="283" t="s">
        <v>111</v>
      </c>
      <c r="M49" s="283"/>
      <c r="N49" s="283"/>
      <c r="O49" s="283"/>
      <c r="P49" s="279">
        <v>1344000000</v>
      </c>
      <c r="Q49" s="279"/>
      <c r="R49" s="279">
        <v>0</v>
      </c>
      <c r="S49" s="279"/>
      <c r="T49" s="279"/>
      <c r="U49" s="279"/>
      <c r="V49" s="7">
        <v>207961400</v>
      </c>
      <c r="W49" s="279">
        <v>0</v>
      </c>
      <c r="X49" s="279"/>
      <c r="Y49" s="279">
        <v>207961400</v>
      </c>
      <c r="Z49" s="279"/>
      <c r="AA49" s="279"/>
      <c r="AB49" s="282">
        <v>0.15473318452380952</v>
      </c>
      <c r="AC49" s="282"/>
      <c r="AD49" s="279">
        <v>1136038600</v>
      </c>
      <c r="AE49" s="279"/>
      <c r="AF49" s="279"/>
      <c r="AG49" s="279"/>
      <c r="AH49" s="279"/>
      <c r="AI49" s="11"/>
      <c r="AJ49" s="11"/>
      <c r="AL49" s="12"/>
      <c r="AM49" s="18">
        <v>6278</v>
      </c>
      <c r="AN49" s="18"/>
      <c r="AO49" s="18"/>
      <c r="AP49" s="19">
        <f>Y37+Y45+Y52+Y59</f>
        <v>351982225</v>
      </c>
      <c r="AQ49" s="19">
        <f>Y49+Y65</f>
        <v>467759400</v>
      </c>
    </row>
    <row r="50" spans="1:43" ht="18" customHeight="1">
      <c r="A50" s="2"/>
      <c r="B50" s="2"/>
      <c r="C50" s="2"/>
      <c r="D50" s="2"/>
      <c r="E50" s="2"/>
      <c r="F50" s="2"/>
      <c r="G50" s="2"/>
      <c r="H50" s="283" t="s">
        <v>73</v>
      </c>
      <c r="I50" s="283"/>
      <c r="J50" s="283"/>
      <c r="K50" s="283"/>
      <c r="L50" s="283"/>
      <c r="M50" s="283" t="s">
        <v>74</v>
      </c>
      <c r="N50" s="283"/>
      <c r="O50" s="283"/>
      <c r="P50" s="279">
        <v>480000000</v>
      </c>
      <c r="Q50" s="279"/>
      <c r="R50" s="279">
        <v>0</v>
      </c>
      <c r="S50" s="279"/>
      <c r="T50" s="279"/>
      <c r="U50" s="279"/>
      <c r="V50" s="7">
        <v>0</v>
      </c>
      <c r="W50" s="279">
        <v>0</v>
      </c>
      <c r="X50" s="279"/>
      <c r="Y50" s="279">
        <v>0</v>
      </c>
      <c r="Z50" s="279"/>
      <c r="AA50" s="279"/>
      <c r="AB50" s="282">
        <v>0</v>
      </c>
      <c r="AC50" s="282"/>
      <c r="AD50" s="279">
        <v>480000000</v>
      </c>
      <c r="AE50" s="279"/>
      <c r="AF50" s="279"/>
      <c r="AG50" s="279"/>
      <c r="AH50" s="279"/>
      <c r="AM50" s="18">
        <v>6279</v>
      </c>
      <c r="AN50" s="18"/>
      <c r="AO50" s="18"/>
      <c r="AP50" s="19">
        <f>Y71+Y74+Y82+Y89</f>
        <v>74506775</v>
      </c>
      <c r="AQ50" s="19">
        <f>Y78</f>
        <v>633114400</v>
      </c>
    </row>
    <row r="51" spans="1:43" ht="18" customHeight="1">
      <c r="A51" s="2"/>
      <c r="B51" s="2"/>
      <c r="C51" s="2"/>
      <c r="D51" s="2"/>
      <c r="E51" s="2"/>
      <c r="F51" s="2"/>
      <c r="G51" s="2"/>
      <c r="H51" s="283" t="s">
        <v>75</v>
      </c>
      <c r="I51" s="283"/>
      <c r="J51" s="283"/>
      <c r="K51" s="283"/>
      <c r="L51" s="283"/>
      <c r="M51" s="283" t="s">
        <v>76</v>
      </c>
      <c r="N51" s="283"/>
      <c r="O51" s="283"/>
      <c r="P51" s="279">
        <v>864000000</v>
      </c>
      <c r="Q51" s="279"/>
      <c r="R51" s="279">
        <v>0</v>
      </c>
      <c r="S51" s="279"/>
      <c r="T51" s="279"/>
      <c r="U51" s="279"/>
      <c r="V51" s="7">
        <v>207961400</v>
      </c>
      <c r="W51" s="279">
        <v>0</v>
      </c>
      <c r="X51" s="279"/>
      <c r="Y51" s="279">
        <v>207961400</v>
      </c>
      <c r="Z51" s="279"/>
      <c r="AA51" s="279"/>
      <c r="AB51" s="282">
        <v>0.24069606481481481</v>
      </c>
      <c r="AC51" s="282"/>
      <c r="AD51" s="279">
        <v>656038600</v>
      </c>
      <c r="AE51" s="279"/>
      <c r="AF51" s="279"/>
      <c r="AG51" s="279"/>
      <c r="AH51" s="279"/>
      <c r="AM51" s="18">
        <v>6280</v>
      </c>
      <c r="AN51" s="18"/>
      <c r="AO51" s="18"/>
      <c r="AP51" s="19">
        <f>Y96+Y104+Y110</f>
        <v>34655575</v>
      </c>
      <c r="AQ51" s="19">
        <f>Y100</f>
        <v>415718600</v>
      </c>
    </row>
    <row r="52" spans="1:43" ht="14.45" customHeight="1">
      <c r="A52" s="2"/>
      <c r="B52" s="2"/>
      <c r="C52" s="2"/>
      <c r="D52" s="2"/>
      <c r="E52" s="2"/>
      <c r="F52" s="283" t="s">
        <v>80</v>
      </c>
      <c r="G52" s="283"/>
      <c r="H52" s="283"/>
      <c r="I52" s="283"/>
      <c r="J52" s="283"/>
      <c r="K52" s="283"/>
      <c r="L52" s="283" t="s">
        <v>112</v>
      </c>
      <c r="M52" s="283"/>
      <c r="N52" s="283"/>
      <c r="O52" s="283"/>
      <c r="P52" s="279">
        <v>136200000</v>
      </c>
      <c r="Q52" s="279"/>
      <c r="R52" s="279">
        <v>0</v>
      </c>
      <c r="S52" s="279"/>
      <c r="T52" s="279"/>
      <c r="U52" s="279"/>
      <c r="V52" s="7">
        <v>33189125</v>
      </c>
      <c r="W52" s="279">
        <v>0</v>
      </c>
      <c r="X52" s="279"/>
      <c r="Y52" s="279">
        <v>33189125</v>
      </c>
      <c r="Z52" s="279"/>
      <c r="AA52" s="279"/>
      <c r="AB52" s="282">
        <v>0.24367933186490456</v>
      </c>
      <c r="AC52" s="282"/>
      <c r="AD52" s="279">
        <v>103010875</v>
      </c>
      <c r="AE52" s="279"/>
      <c r="AF52" s="279"/>
      <c r="AG52" s="279"/>
      <c r="AH52" s="279"/>
      <c r="AI52" s="11"/>
      <c r="AJ52" s="11"/>
      <c r="AL52" s="12"/>
      <c r="AM52" s="18">
        <v>7992</v>
      </c>
      <c r="AN52" s="18">
        <v>101</v>
      </c>
      <c r="AO52" s="18"/>
      <c r="AP52" s="19">
        <f>Y118+Y124+Y130</f>
        <v>26210125</v>
      </c>
      <c r="AQ52" s="19">
        <f>Y122</f>
        <v>238924400</v>
      </c>
    </row>
    <row r="53" spans="1:43" ht="14.45" customHeight="1">
      <c r="A53" s="2"/>
      <c r="B53" s="2"/>
      <c r="C53" s="2"/>
      <c r="D53" s="2"/>
      <c r="E53" s="2"/>
      <c r="F53" s="2"/>
      <c r="G53" s="2"/>
      <c r="H53" s="283" t="s">
        <v>82</v>
      </c>
      <c r="I53" s="283"/>
      <c r="J53" s="283"/>
      <c r="K53" s="283"/>
      <c r="L53" s="283"/>
      <c r="M53" s="283" t="s">
        <v>83</v>
      </c>
      <c r="N53" s="283"/>
      <c r="O53" s="283"/>
      <c r="P53" s="279">
        <v>6100000</v>
      </c>
      <c r="Q53" s="279"/>
      <c r="R53" s="279">
        <v>0</v>
      </c>
      <c r="S53" s="279"/>
      <c r="T53" s="279"/>
      <c r="U53" s="279"/>
      <c r="V53" s="7">
        <v>5364125</v>
      </c>
      <c r="W53" s="279">
        <v>0</v>
      </c>
      <c r="X53" s="279"/>
      <c r="Y53" s="279">
        <v>5364125</v>
      </c>
      <c r="Z53" s="279"/>
      <c r="AA53" s="279"/>
      <c r="AB53" s="282">
        <v>0.87936475409836068</v>
      </c>
      <c r="AC53" s="282"/>
      <c r="AD53" s="279">
        <v>735875</v>
      </c>
      <c r="AE53" s="279"/>
      <c r="AF53" s="279"/>
      <c r="AG53" s="279"/>
      <c r="AH53" s="279"/>
      <c r="AM53" s="18"/>
      <c r="AN53" s="18">
        <v>102</v>
      </c>
      <c r="AO53" s="18"/>
      <c r="AP53" s="19">
        <f>Y135+Y143+Y149</f>
        <v>19830450</v>
      </c>
      <c r="AQ53" s="19">
        <f>Y140</f>
        <v>135337800</v>
      </c>
    </row>
    <row r="54" spans="1:43" ht="14.45" customHeight="1">
      <c r="A54" s="2"/>
      <c r="B54" s="2"/>
      <c r="C54" s="2"/>
      <c r="D54" s="2"/>
      <c r="E54" s="2"/>
      <c r="F54" s="2"/>
      <c r="G54" s="2"/>
      <c r="H54" s="283" t="s">
        <v>84</v>
      </c>
      <c r="I54" s="283"/>
      <c r="J54" s="283"/>
      <c r="K54" s="283"/>
      <c r="L54" s="283"/>
      <c r="M54" s="283" t="s">
        <v>85</v>
      </c>
      <c r="N54" s="283"/>
      <c r="O54" s="283"/>
      <c r="P54" s="279">
        <v>20000000</v>
      </c>
      <c r="Q54" s="279"/>
      <c r="R54" s="279">
        <v>0</v>
      </c>
      <c r="S54" s="279"/>
      <c r="T54" s="279"/>
      <c r="U54" s="279"/>
      <c r="V54" s="7">
        <v>3750000</v>
      </c>
      <c r="W54" s="279">
        <v>0</v>
      </c>
      <c r="X54" s="279"/>
      <c r="Y54" s="279">
        <v>3750000</v>
      </c>
      <c r="Z54" s="279"/>
      <c r="AA54" s="279"/>
      <c r="AB54" s="282">
        <v>0.1875</v>
      </c>
      <c r="AC54" s="282"/>
      <c r="AD54" s="279">
        <v>16250000</v>
      </c>
      <c r="AE54" s="279"/>
      <c r="AF54" s="279"/>
      <c r="AG54" s="279"/>
      <c r="AH54" s="279"/>
      <c r="AM54" s="18">
        <v>6301</v>
      </c>
      <c r="AN54" s="18"/>
      <c r="AO54" s="20">
        <f>Y173</f>
        <v>3692194090</v>
      </c>
      <c r="AP54" s="19">
        <f>Y156+Y159+Y198</f>
        <v>1158987014</v>
      </c>
      <c r="AQ54" s="19"/>
    </row>
    <row r="55" spans="1:43" ht="14.45" customHeight="1">
      <c r="A55" s="2"/>
      <c r="B55" s="2"/>
      <c r="C55" s="2"/>
      <c r="D55" s="2"/>
      <c r="E55" s="2"/>
      <c r="F55" s="2"/>
      <c r="G55" s="2"/>
      <c r="H55" s="283" t="s">
        <v>65</v>
      </c>
      <c r="I55" s="283"/>
      <c r="J55" s="283"/>
      <c r="K55" s="283"/>
      <c r="L55" s="283"/>
      <c r="M55" s="283" t="s">
        <v>66</v>
      </c>
      <c r="N55" s="283"/>
      <c r="O55" s="283"/>
      <c r="P55" s="279">
        <v>73000000</v>
      </c>
      <c r="Q55" s="279"/>
      <c r="R55" s="279">
        <v>0</v>
      </c>
      <c r="S55" s="279"/>
      <c r="T55" s="279"/>
      <c r="U55" s="279"/>
      <c r="V55" s="7">
        <v>18975000</v>
      </c>
      <c r="W55" s="279">
        <v>0</v>
      </c>
      <c r="X55" s="279"/>
      <c r="Y55" s="279">
        <v>18975000</v>
      </c>
      <c r="Z55" s="279"/>
      <c r="AA55" s="279"/>
      <c r="AB55" s="282">
        <v>0.25993150684931504</v>
      </c>
      <c r="AC55" s="282"/>
      <c r="AD55" s="279">
        <v>54025000</v>
      </c>
      <c r="AE55" s="279"/>
      <c r="AF55" s="279"/>
      <c r="AG55" s="279"/>
      <c r="AH55" s="279"/>
      <c r="AM55" s="24"/>
      <c r="AN55" s="24"/>
      <c r="AO55" s="27">
        <f>SUM(AO48:AO54)</f>
        <v>3692194090</v>
      </c>
      <c r="AP55" s="27">
        <f>SUM(AP48:AP54)</f>
        <v>1733202989</v>
      </c>
      <c r="AQ55" s="27">
        <f>SUM(AQ48:AQ54)</f>
        <v>2346806500</v>
      </c>
    </row>
    <row r="56" spans="1:43" ht="14.45" customHeight="1">
      <c r="A56" s="2"/>
      <c r="B56" s="2"/>
      <c r="C56" s="2"/>
      <c r="D56" s="2"/>
      <c r="E56" s="2"/>
      <c r="F56" s="2"/>
      <c r="G56" s="2"/>
      <c r="H56" s="283" t="s">
        <v>113</v>
      </c>
      <c r="I56" s="283"/>
      <c r="J56" s="283"/>
      <c r="K56" s="283"/>
      <c r="L56" s="283"/>
      <c r="M56" s="283" t="s">
        <v>114</v>
      </c>
      <c r="N56" s="283"/>
      <c r="O56" s="283"/>
      <c r="P56" s="279">
        <v>10800000</v>
      </c>
      <c r="Q56" s="279"/>
      <c r="R56" s="279">
        <v>0</v>
      </c>
      <c r="S56" s="279"/>
      <c r="T56" s="279"/>
      <c r="U56" s="279"/>
      <c r="V56" s="7">
        <v>0</v>
      </c>
      <c r="W56" s="279">
        <v>0</v>
      </c>
      <c r="X56" s="279"/>
      <c r="Y56" s="279">
        <v>0</v>
      </c>
      <c r="Z56" s="279"/>
      <c r="AA56" s="279"/>
      <c r="AB56" s="282">
        <v>0</v>
      </c>
      <c r="AC56" s="282"/>
      <c r="AD56" s="279">
        <v>10800000</v>
      </c>
      <c r="AE56" s="279"/>
      <c r="AF56" s="279"/>
      <c r="AG56" s="279"/>
      <c r="AH56" s="279"/>
      <c r="AM56" s="18"/>
      <c r="AN56" s="21"/>
      <c r="AO56" s="22">
        <f>SUM(AO55:AQ55)</f>
        <v>7772203579</v>
      </c>
      <c r="AP56" s="19"/>
      <c r="AQ56" s="23"/>
    </row>
    <row r="57" spans="1:43" ht="14.45" customHeight="1">
      <c r="A57" s="2"/>
      <c r="B57" s="2"/>
      <c r="C57" s="2"/>
      <c r="D57" s="2"/>
      <c r="E57" s="2"/>
      <c r="F57" s="2"/>
      <c r="G57" s="2"/>
      <c r="H57" s="283" t="s">
        <v>67</v>
      </c>
      <c r="I57" s="283"/>
      <c r="J57" s="283"/>
      <c r="K57" s="283"/>
      <c r="L57" s="283"/>
      <c r="M57" s="283" t="s">
        <v>68</v>
      </c>
      <c r="N57" s="283"/>
      <c r="O57" s="283"/>
      <c r="P57" s="279">
        <v>26300000</v>
      </c>
      <c r="Q57" s="279"/>
      <c r="R57" s="279">
        <v>0</v>
      </c>
      <c r="S57" s="279"/>
      <c r="T57" s="279"/>
      <c r="U57" s="279"/>
      <c r="V57" s="7">
        <v>5100000</v>
      </c>
      <c r="W57" s="279">
        <v>0</v>
      </c>
      <c r="X57" s="279"/>
      <c r="Y57" s="279">
        <v>5100000</v>
      </c>
      <c r="Z57" s="279"/>
      <c r="AA57" s="279"/>
      <c r="AB57" s="282">
        <v>0.19391634980988592</v>
      </c>
      <c r="AC57" s="282"/>
      <c r="AD57" s="279">
        <v>21200000</v>
      </c>
      <c r="AE57" s="279"/>
      <c r="AF57" s="279"/>
      <c r="AG57" s="279"/>
      <c r="AH57" s="279"/>
    </row>
    <row r="58" spans="1:43" ht="14.45" customHeight="1">
      <c r="A58" s="2"/>
      <c r="B58" s="2"/>
      <c r="C58" s="2"/>
      <c r="D58" s="2"/>
      <c r="E58" s="286" t="s">
        <v>86</v>
      </c>
      <c r="F58" s="286"/>
      <c r="G58" s="286"/>
      <c r="H58" s="286"/>
      <c r="I58" s="286"/>
      <c r="J58" s="286" t="s">
        <v>87</v>
      </c>
      <c r="K58" s="286"/>
      <c r="L58" s="286"/>
      <c r="M58" s="286"/>
      <c r="N58" s="286"/>
      <c r="O58" s="286"/>
      <c r="P58" s="284">
        <v>21500000</v>
      </c>
      <c r="Q58" s="284"/>
      <c r="R58" s="284">
        <v>0</v>
      </c>
      <c r="S58" s="284"/>
      <c r="T58" s="284"/>
      <c r="U58" s="284"/>
      <c r="V58" s="10">
        <v>0</v>
      </c>
      <c r="W58" s="284">
        <v>0</v>
      </c>
      <c r="X58" s="284"/>
      <c r="Y58" s="284">
        <v>0</v>
      </c>
      <c r="Z58" s="284"/>
      <c r="AA58" s="284"/>
      <c r="AB58" s="290">
        <v>0</v>
      </c>
      <c r="AC58" s="290"/>
      <c r="AD58" s="284">
        <v>21500000</v>
      </c>
      <c r="AE58" s="284"/>
      <c r="AF58" s="284"/>
      <c r="AG58" s="284"/>
      <c r="AH58" s="284"/>
    </row>
    <row r="59" spans="1:43" ht="14.45" customHeight="1">
      <c r="A59" s="2"/>
      <c r="B59" s="2"/>
      <c r="C59" s="2"/>
      <c r="D59" s="2"/>
      <c r="E59" s="2"/>
      <c r="F59" s="283" t="s">
        <v>88</v>
      </c>
      <c r="G59" s="283"/>
      <c r="H59" s="283"/>
      <c r="I59" s="283"/>
      <c r="J59" s="283"/>
      <c r="K59" s="283"/>
      <c r="L59" s="283" t="s">
        <v>89</v>
      </c>
      <c r="M59" s="283"/>
      <c r="N59" s="283"/>
      <c r="O59" s="283"/>
      <c r="P59" s="279">
        <v>21500000</v>
      </c>
      <c r="Q59" s="279"/>
      <c r="R59" s="279">
        <v>0</v>
      </c>
      <c r="S59" s="279"/>
      <c r="T59" s="279"/>
      <c r="U59" s="279"/>
      <c r="V59" s="7">
        <v>0</v>
      </c>
      <c r="W59" s="279">
        <v>0</v>
      </c>
      <c r="X59" s="279"/>
      <c r="Y59" s="279">
        <v>0</v>
      </c>
      <c r="Z59" s="279"/>
      <c r="AA59" s="279"/>
      <c r="AB59" s="282">
        <v>0</v>
      </c>
      <c r="AC59" s="282"/>
      <c r="AD59" s="279">
        <v>21500000</v>
      </c>
      <c r="AE59" s="279"/>
      <c r="AF59" s="279"/>
      <c r="AG59" s="279"/>
      <c r="AH59" s="279"/>
      <c r="AI59" s="11"/>
      <c r="AJ59" s="11"/>
      <c r="AL59" s="12"/>
    </row>
    <row r="60" spans="1:43" ht="24" customHeight="1">
      <c r="A60" s="2"/>
      <c r="B60" s="294" t="s">
        <v>92</v>
      </c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4"/>
      <c r="AE60" s="294"/>
      <c r="AF60" s="2"/>
      <c r="AG60" s="2"/>
      <c r="AH60" s="2"/>
    </row>
    <row r="61" spans="1:43" ht="14.45" customHeight="1">
      <c r="A61" s="2"/>
      <c r="B61" s="2"/>
      <c r="C61" s="2"/>
      <c r="D61" s="2"/>
      <c r="E61" s="2"/>
      <c r="F61" s="2"/>
      <c r="G61" s="2"/>
      <c r="H61" s="283" t="s">
        <v>67</v>
      </c>
      <c r="I61" s="283"/>
      <c r="J61" s="283"/>
      <c r="K61" s="283"/>
      <c r="L61" s="283"/>
      <c r="M61" s="283" t="s">
        <v>68</v>
      </c>
      <c r="N61" s="283"/>
      <c r="O61" s="283"/>
      <c r="P61" s="279">
        <v>21500000</v>
      </c>
      <c r="Q61" s="279"/>
      <c r="R61" s="279">
        <v>0</v>
      </c>
      <c r="S61" s="279"/>
      <c r="T61" s="279"/>
      <c r="U61" s="279"/>
      <c r="V61" s="7">
        <v>0</v>
      </c>
      <c r="W61" s="279">
        <v>0</v>
      </c>
      <c r="X61" s="279"/>
      <c r="Y61" s="279">
        <v>0</v>
      </c>
      <c r="Z61" s="279"/>
      <c r="AA61" s="279"/>
      <c r="AB61" s="282">
        <v>0</v>
      </c>
      <c r="AC61" s="282"/>
      <c r="AD61" s="279">
        <v>21500000</v>
      </c>
      <c r="AE61" s="279"/>
      <c r="AF61" s="279"/>
      <c r="AG61" s="279"/>
      <c r="AH61" s="279"/>
    </row>
    <row r="62" spans="1:43" ht="14.45" customHeight="1">
      <c r="A62" s="2"/>
      <c r="B62" s="2"/>
      <c r="C62" s="295" t="s">
        <v>115</v>
      </c>
      <c r="D62" s="295"/>
      <c r="E62" s="295"/>
      <c r="F62" s="295"/>
      <c r="G62" s="295" t="s">
        <v>116</v>
      </c>
      <c r="H62" s="295"/>
      <c r="I62" s="295"/>
      <c r="J62" s="295"/>
      <c r="K62" s="295"/>
      <c r="L62" s="295"/>
      <c r="M62" s="295"/>
      <c r="N62" s="295"/>
      <c r="O62" s="295"/>
      <c r="P62" s="280">
        <v>796570000</v>
      </c>
      <c r="Q62" s="280"/>
      <c r="R62" s="280">
        <v>0</v>
      </c>
      <c r="S62" s="280"/>
      <c r="T62" s="280"/>
      <c r="U62" s="280"/>
      <c r="V62" s="8">
        <v>259798000</v>
      </c>
      <c r="W62" s="280">
        <v>0</v>
      </c>
      <c r="X62" s="280"/>
      <c r="Y62" s="280">
        <v>259798000</v>
      </c>
      <c r="Z62" s="280"/>
      <c r="AA62" s="280"/>
      <c r="AB62" s="298">
        <v>0.32614585033330407</v>
      </c>
      <c r="AC62" s="298"/>
      <c r="AD62" s="280">
        <v>536772000</v>
      </c>
      <c r="AE62" s="280"/>
      <c r="AF62" s="280"/>
      <c r="AG62" s="280"/>
      <c r="AH62" s="280"/>
    </row>
    <row r="63" spans="1:43" ht="14.45" customHeight="1">
      <c r="A63" s="2"/>
      <c r="B63" s="2"/>
      <c r="C63" s="288" t="s">
        <v>117</v>
      </c>
      <c r="D63" s="288"/>
      <c r="E63" s="288"/>
      <c r="F63" s="288"/>
      <c r="G63" s="288"/>
      <c r="H63" s="288"/>
      <c r="I63" s="288"/>
      <c r="J63" s="288"/>
      <c r="K63" s="297" t="s">
        <v>118</v>
      </c>
      <c r="L63" s="297"/>
      <c r="M63" s="297"/>
      <c r="N63" s="297"/>
      <c r="O63" s="297"/>
      <c r="P63" s="281">
        <v>796570000</v>
      </c>
      <c r="Q63" s="281"/>
      <c r="R63" s="281">
        <v>0</v>
      </c>
      <c r="S63" s="281"/>
      <c r="T63" s="281"/>
      <c r="U63" s="281"/>
      <c r="V63" s="9">
        <v>259798000</v>
      </c>
      <c r="W63" s="299">
        <v>0</v>
      </c>
      <c r="X63" s="299"/>
      <c r="Y63" s="281">
        <v>259798000</v>
      </c>
      <c r="Z63" s="281"/>
      <c r="AA63" s="281"/>
      <c r="AB63" s="291">
        <v>0.32614585033330407</v>
      </c>
      <c r="AC63" s="291"/>
      <c r="AD63" s="281">
        <v>536772000</v>
      </c>
      <c r="AE63" s="281"/>
      <c r="AF63" s="281"/>
      <c r="AG63" s="281"/>
      <c r="AH63" s="281"/>
    </row>
    <row r="64" spans="1:43" ht="14.45" customHeight="1">
      <c r="A64" s="2"/>
      <c r="B64" s="2"/>
      <c r="C64" s="2"/>
      <c r="D64" s="2"/>
      <c r="E64" s="286" t="s">
        <v>119</v>
      </c>
      <c r="F64" s="286"/>
      <c r="G64" s="286"/>
      <c r="H64" s="286"/>
      <c r="I64" s="286"/>
      <c r="J64" s="286" t="s">
        <v>120</v>
      </c>
      <c r="K64" s="286"/>
      <c r="L64" s="286"/>
      <c r="M64" s="286"/>
      <c r="N64" s="286"/>
      <c r="O64" s="286"/>
      <c r="P64" s="284">
        <v>796570000</v>
      </c>
      <c r="Q64" s="284"/>
      <c r="R64" s="284">
        <v>0</v>
      </c>
      <c r="S64" s="284"/>
      <c r="T64" s="284"/>
      <c r="U64" s="284"/>
      <c r="V64" s="10">
        <v>259798000</v>
      </c>
      <c r="W64" s="284">
        <v>0</v>
      </c>
      <c r="X64" s="284"/>
      <c r="Y64" s="284">
        <v>259798000</v>
      </c>
      <c r="Z64" s="284"/>
      <c r="AA64" s="284"/>
      <c r="AB64" s="290">
        <v>0.32614585033330407</v>
      </c>
      <c r="AC64" s="290"/>
      <c r="AD64" s="284">
        <v>536772000</v>
      </c>
      <c r="AE64" s="284"/>
      <c r="AF64" s="284"/>
      <c r="AG64" s="284"/>
      <c r="AH64" s="284"/>
    </row>
    <row r="65" spans="1:38" ht="14.45" customHeight="1">
      <c r="A65" s="2"/>
      <c r="B65" s="2"/>
      <c r="C65" s="2"/>
      <c r="D65" s="2"/>
      <c r="E65" s="2"/>
      <c r="F65" s="283" t="s">
        <v>121</v>
      </c>
      <c r="G65" s="283"/>
      <c r="H65" s="283"/>
      <c r="I65" s="283"/>
      <c r="J65" s="283"/>
      <c r="K65" s="283"/>
      <c r="L65" s="283" t="s">
        <v>122</v>
      </c>
      <c r="M65" s="283"/>
      <c r="N65" s="283"/>
      <c r="O65" s="283"/>
      <c r="P65" s="279">
        <v>796570000</v>
      </c>
      <c r="Q65" s="279"/>
      <c r="R65" s="279">
        <v>0</v>
      </c>
      <c r="S65" s="279"/>
      <c r="T65" s="279"/>
      <c r="U65" s="279"/>
      <c r="V65" s="7">
        <v>259798000</v>
      </c>
      <c r="W65" s="279">
        <v>0</v>
      </c>
      <c r="X65" s="279"/>
      <c r="Y65" s="279">
        <v>259798000</v>
      </c>
      <c r="Z65" s="279"/>
      <c r="AA65" s="279"/>
      <c r="AB65" s="282">
        <v>0.32614585033330407</v>
      </c>
      <c r="AC65" s="282"/>
      <c r="AD65" s="279">
        <v>536772000</v>
      </c>
      <c r="AE65" s="279"/>
      <c r="AF65" s="279"/>
      <c r="AG65" s="279"/>
      <c r="AH65" s="279"/>
      <c r="AI65" s="11"/>
      <c r="AJ65" s="11"/>
      <c r="AL65" s="12"/>
    </row>
    <row r="66" spans="1:38" ht="18" customHeight="1">
      <c r="A66" s="2"/>
      <c r="B66" s="2"/>
      <c r="C66" s="2"/>
      <c r="D66" s="2"/>
      <c r="E66" s="2"/>
      <c r="F66" s="2"/>
      <c r="G66" s="2"/>
      <c r="H66" s="283" t="s">
        <v>75</v>
      </c>
      <c r="I66" s="283"/>
      <c r="J66" s="283"/>
      <c r="K66" s="283"/>
      <c r="L66" s="283"/>
      <c r="M66" s="283" t="s">
        <v>76</v>
      </c>
      <c r="N66" s="283"/>
      <c r="O66" s="283"/>
      <c r="P66" s="279">
        <v>796570000</v>
      </c>
      <c r="Q66" s="279"/>
      <c r="R66" s="279">
        <v>0</v>
      </c>
      <c r="S66" s="279"/>
      <c r="T66" s="279"/>
      <c r="U66" s="279"/>
      <c r="V66" s="7">
        <v>259798000</v>
      </c>
      <c r="W66" s="279">
        <v>0</v>
      </c>
      <c r="X66" s="279"/>
      <c r="Y66" s="279">
        <v>259798000</v>
      </c>
      <c r="Z66" s="279"/>
      <c r="AA66" s="279"/>
      <c r="AB66" s="282">
        <v>0.32614585033330407</v>
      </c>
      <c r="AC66" s="282"/>
      <c r="AD66" s="279">
        <v>536772000</v>
      </c>
      <c r="AE66" s="279"/>
      <c r="AF66" s="279"/>
      <c r="AG66" s="279"/>
      <c r="AH66" s="279"/>
    </row>
    <row r="67" spans="1:38" ht="14.45" customHeight="1">
      <c r="A67" s="2"/>
      <c r="B67" s="283" t="s">
        <v>123</v>
      </c>
      <c r="C67" s="283"/>
      <c r="D67" s="283"/>
      <c r="E67" s="283"/>
      <c r="F67" s="283"/>
      <c r="G67" s="283"/>
      <c r="H67" s="283"/>
      <c r="I67" s="283" t="s">
        <v>124</v>
      </c>
      <c r="J67" s="283"/>
      <c r="K67" s="283"/>
      <c r="L67" s="283"/>
      <c r="M67" s="283"/>
      <c r="N67" s="283"/>
      <c r="O67" s="283"/>
      <c r="P67" s="279">
        <v>1800000000</v>
      </c>
      <c r="Q67" s="279"/>
      <c r="R67" s="279">
        <v>0</v>
      </c>
      <c r="S67" s="279"/>
      <c r="T67" s="279"/>
      <c r="U67" s="279"/>
      <c r="V67" s="7">
        <v>707621175</v>
      </c>
      <c r="W67" s="279">
        <v>0</v>
      </c>
      <c r="X67" s="279"/>
      <c r="Y67" s="279">
        <v>707621175</v>
      </c>
      <c r="Z67" s="279"/>
      <c r="AA67" s="279"/>
      <c r="AB67" s="282">
        <v>0.39312287499999998</v>
      </c>
      <c r="AC67" s="282"/>
      <c r="AD67" s="279">
        <v>1092378825</v>
      </c>
      <c r="AE67" s="279"/>
      <c r="AF67" s="279"/>
      <c r="AG67" s="279"/>
      <c r="AH67" s="279"/>
    </row>
    <row r="68" spans="1:38" ht="14.45" customHeight="1">
      <c r="A68" s="2"/>
      <c r="B68" s="2"/>
      <c r="C68" s="295" t="s">
        <v>57</v>
      </c>
      <c r="D68" s="295"/>
      <c r="E68" s="295"/>
      <c r="F68" s="295"/>
      <c r="G68" s="295" t="s">
        <v>58</v>
      </c>
      <c r="H68" s="295"/>
      <c r="I68" s="295"/>
      <c r="J68" s="295"/>
      <c r="K68" s="295"/>
      <c r="L68" s="295"/>
      <c r="M68" s="295"/>
      <c r="N68" s="295"/>
      <c r="O68" s="295"/>
      <c r="P68" s="280">
        <v>1800000000</v>
      </c>
      <c r="Q68" s="280"/>
      <c r="R68" s="280">
        <v>0</v>
      </c>
      <c r="S68" s="280"/>
      <c r="T68" s="280"/>
      <c r="U68" s="280"/>
      <c r="V68" s="8">
        <v>707621175</v>
      </c>
      <c r="W68" s="280">
        <v>0</v>
      </c>
      <c r="X68" s="280"/>
      <c r="Y68" s="280">
        <v>707621175</v>
      </c>
      <c r="Z68" s="280"/>
      <c r="AA68" s="280"/>
      <c r="AB68" s="298">
        <v>0.39312287499999998</v>
      </c>
      <c r="AC68" s="298"/>
      <c r="AD68" s="280">
        <v>1092378825</v>
      </c>
      <c r="AE68" s="280"/>
      <c r="AF68" s="280"/>
      <c r="AG68" s="280"/>
      <c r="AH68" s="280"/>
    </row>
    <row r="69" spans="1:38" ht="18" customHeight="1">
      <c r="A69" s="2"/>
      <c r="B69" s="2"/>
      <c r="C69" s="288" t="s">
        <v>59</v>
      </c>
      <c r="D69" s="288"/>
      <c r="E69" s="288"/>
      <c r="F69" s="288"/>
      <c r="G69" s="288"/>
      <c r="H69" s="288"/>
      <c r="I69" s="288"/>
      <c r="J69" s="288"/>
      <c r="K69" s="297" t="s">
        <v>125</v>
      </c>
      <c r="L69" s="297"/>
      <c r="M69" s="297"/>
      <c r="N69" s="297"/>
      <c r="O69" s="297"/>
      <c r="P69" s="281">
        <v>1800000000</v>
      </c>
      <c r="Q69" s="281"/>
      <c r="R69" s="281">
        <v>0</v>
      </c>
      <c r="S69" s="281"/>
      <c r="T69" s="281"/>
      <c r="U69" s="281"/>
      <c r="V69" s="9">
        <v>707621175</v>
      </c>
      <c r="W69" s="299">
        <v>0</v>
      </c>
      <c r="X69" s="299"/>
      <c r="Y69" s="281">
        <v>707621175</v>
      </c>
      <c r="Z69" s="281"/>
      <c r="AA69" s="281"/>
      <c r="AB69" s="291">
        <v>0.39312287499999998</v>
      </c>
      <c r="AC69" s="291"/>
      <c r="AD69" s="281">
        <v>1092378825</v>
      </c>
      <c r="AE69" s="281"/>
      <c r="AF69" s="281"/>
      <c r="AG69" s="281"/>
      <c r="AH69" s="281"/>
    </row>
    <row r="70" spans="1:38" ht="14.45" customHeight="1">
      <c r="A70" s="2"/>
      <c r="B70" s="2"/>
      <c r="C70" s="2"/>
      <c r="D70" s="2"/>
      <c r="E70" s="286" t="s">
        <v>95</v>
      </c>
      <c r="F70" s="286"/>
      <c r="G70" s="286"/>
      <c r="H70" s="286"/>
      <c r="I70" s="286"/>
      <c r="J70" s="286" t="s">
        <v>96</v>
      </c>
      <c r="K70" s="286"/>
      <c r="L70" s="286"/>
      <c r="M70" s="286"/>
      <c r="N70" s="286"/>
      <c r="O70" s="286"/>
      <c r="P70" s="284">
        <v>198000000</v>
      </c>
      <c r="Q70" s="284"/>
      <c r="R70" s="284">
        <v>0</v>
      </c>
      <c r="S70" s="284"/>
      <c r="T70" s="284"/>
      <c r="U70" s="284"/>
      <c r="V70" s="10">
        <v>40200000</v>
      </c>
      <c r="W70" s="284">
        <v>0</v>
      </c>
      <c r="X70" s="284"/>
      <c r="Y70" s="284">
        <v>40200000</v>
      </c>
      <c r="Z70" s="284"/>
      <c r="AA70" s="284"/>
      <c r="AB70" s="290">
        <v>0.20303030303030303</v>
      </c>
      <c r="AC70" s="290"/>
      <c r="AD70" s="284">
        <v>157800000</v>
      </c>
      <c r="AE70" s="284"/>
      <c r="AF70" s="284"/>
      <c r="AG70" s="284"/>
      <c r="AH70" s="284"/>
    </row>
    <row r="71" spans="1:38" ht="14.45" customHeight="1">
      <c r="A71" s="2"/>
      <c r="B71" s="2"/>
      <c r="C71" s="2"/>
      <c r="D71" s="2"/>
      <c r="E71" s="2"/>
      <c r="F71" s="283" t="s">
        <v>97</v>
      </c>
      <c r="G71" s="283"/>
      <c r="H71" s="283"/>
      <c r="I71" s="283"/>
      <c r="J71" s="283"/>
      <c r="K71" s="283"/>
      <c r="L71" s="283" t="s">
        <v>126</v>
      </c>
      <c r="M71" s="283"/>
      <c r="N71" s="283"/>
      <c r="O71" s="283"/>
      <c r="P71" s="279">
        <v>198000000</v>
      </c>
      <c r="Q71" s="279"/>
      <c r="R71" s="279">
        <v>0</v>
      </c>
      <c r="S71" s="279"/>
      <c r="T71" s="279"/>
      <c r="U71" s="279"/>
      <c r="V71" s="7">
        <v>40200000</v>
      </c>
      <c r="W71" s="279">
        <v>0</v>
      </c>
      <c r="X71" s="279"/>
      <c r="Y71" s="279">
        <v>40200000</v>
      </c>
      <c r="Z71" s="279"/>
      <c r="AA71" s="279"/>
      <c r="AB71" s="282">
        <v>0.20303030303030303</v>
      </c>
      <c r="AC71" s="282"/>
      <c r="AD71" s="279">
        <v>157800000</v>
      </c>
      <c r="AE71" s="279"/>
      <c r="AF71" s="279"/>
      <c r="AG71" s="279"/>
      <c r="AH71" s="279"/>
      <c r="AI71" s="11"/>
      <c r="AJ71" s="11"/>
      <c r="AL71" s="12"/>
    </row>
    <row r="72" spans="1:38" ht="14.45" customHeight="1">
      <c r="A72" s="2"/>
      <c r="B72" s="2"/>
      <c r="C72" s="2"/>
      <c r="D72" s="2"/>
      <c r="E72" s="2"/>
      <c r="F72" s="2"/>
      <c r="G72" s="2"/>
      <c r="H72" s="283" t="s">
        <v>107</v>
      </c>
      <c r="I72" s="283"/>
      <c r="J72" s="283"/>
      <c r="K72" s="283"/>
      <c r="L72" s="283"/>
      <c r="M72" s="283" t="s">
        <v>108</v>
      </c>
      <c r="N72" s="283"/>
      <c r="O72" s="283"/>
      <c r="P72" s="279">
        <v>198000000</v>
      </c>
      <c r="Q72" s="279"/>
      <c r="R72" s="279">
        <v>0</v>
      </c>
      <c r="S72" s="279"/>
      <c r="T72" s="279"/>
      <c r="U72" s="279"/>
      <c r="V72" s="7">
        <v>40200000</v>
      </c>
      <c r="W72" s="279">
        <v>0</v>
      </c>
      <c r="X72" s="279"/>
      <c r="Y72" s="279">
        <v>40200000</v>
      </c>
      <c r="Z72" s="279"/>
      <c r="AA72" s="279"/>
      <c r="AB72" s="282">
        <v>0.20303030303030303</v>
      </c>
      <c r="AC72" s="282"/>
      <c r="AD72" s="279">
        <v>157800000</v>
      </c>
      <c r="AE72" s="279"/>
      <c r="AF72" s="279"/>
      <c r="AG72" s="279"/>
      <c r="AH72" s="279"/>
    </row>
    <row r="73" spans="1:38" ht="14.45" customHeight="1">
      <c r="A73" s="2"/>
      <c r="B73" s="2"/>
      <c r="C73" s="2"/>
      <c r="D73" s="2"/>
      <c r="E73" s="286" t="s">
        <v>61</v>
      </c>
      <c r="F73" s="286"/>
      <c r="G73" s="286"/>
      <c r="H73" s="286"/>
      <c r="I73" s="286"/>
      <c r="J73" s="286" t="s">
        <v>62</v>
      </c>
      <c r="K73" s="286"/>
      <c r="L73" s="286"/>
      <c r="M73" s="286"/>
      <c r="N73" s="286"/>
      <c r="O73" s="286"/>
      <c r="P73" s="284">
        <v>71000000</v>
      </c>
      <c r="Q73" s="284"/>
      <c r="R73" s="284">
        <v>0</v>
      </c>
      <c r="S73" s="284"/>
      <c r="T73" s="284"/>
      <c r="U73" s="284"/>
      <c r="V73" s="10">
        <v>15272000</v>
      </c>
      <c r="W73" s="284">
        <v>0</v>
      </c>
      <c r="X73" s="284"/>
      <c r="Y73" s="284">
        <v>15272000</v>
      </c>
      <c r="Z73" s="284"/>
      <c r="AA73" s="284"/>
      <c r="AB73" s="290">
        <v>0.21509859154929578</v>
      </c>
      <c r="AC73" s="290"/>
      <c r="AD73" s="284">
        <v>55728000</v>
      </c>
      <c r="AE73" s="284"/>
      <c r="AF73" s="284"/>
      <c r="AG73" s="284"/>
      <c r="AH73" s="284"/>
    </row>
    <row r="74" spans="1:38" ht="14.45" customHeight="1">
      <c r="A74" s="2"/>
      <c r="B74" s="2"/>
      <c r="C74" s="2"/>
      <c r="D74" s="2"/>
      <c r="E74" s="2"/>
      <c r="F74" s="283" t="s">
        <v>63</v>
      </c>
      <c r="G74" s="283"/>
      <c r="H74" s="283"/>
      <c r="I74" s="283"/>
      <c r="J74" s="283"/>
      <c r="K74" s="283"/>
      <c r="L74" s="283" t="s">
        <v>109</v>
      </c>
      <c r="M74" s="283"/>
      <c r="N74" s="283"/>
      <c r="O74" s="283"/>
      <c r="P74" s="279">
        <v>71000000</v>
      </c>
      <c r="Q74" s="279"/>
      <c r="R74" s="279">
        <v>0</v>
      </c>
      <c r="S74" s="279"/>
      <c r="T74" s="279"/>
      <c r="U74" s="279"/>
      <c r="V74" s="7">
        <v>15272000</v>
      </c>
      <c r="W74" s="279">
        <v>0</v>
      </c>
      <c r="X74" s="279"/>
      <c r="Y74" s="279">
        <v>15272000</v>
      </c>
      <c r="Z74" s="279"/>
      <c r="AA74" s="279"/>
      <c r="AB74" s="282">
        <v>0.21509859154929578</v>
      </c>
      <c r="AC74" s="282"/>
      <c r="AD74" s="279">
        <v>55728000</v>
      </c>
      <c r="AE74" s="279"/>
      <c r="AF74" s="279"/>
      <c r="AG74" s="279"/>
      <c r="AH74" s="279"/>
      <c r="AI74" s="11"/>
      <c r="AJ74" s="11"/>
      <c r="AL74" s="12"/>
    </row>
    <row r="75" spans="1:38" ht="14.45" customHeight="1">
      <c r="A75" s="2"/>
      <c r="B75" s="2"/>
      <c r="C75" s="2"/>
      <c r="D75" s="2"/>
      <c r="E75" s="2"/>
      <c r="F75" s="2"/>
      <c r="G75" s="2"/>
      <c r="H75" s="283" t="s">
        <v>65</v>
      </c>
      <c r="I75" s="283"/>
      <c r="J75" s="283"/>
      <c r="K75" s="283"/>
      <c r="L75" s="283"/>
      <c r="M75" s="283" t="s">
        <v>66</v>
      </c>
      <c r="N75" s="283"/>
      <c r="O75" s="283"/>
      <c r="P75" s="279">
        <v>38500000</v>
      </c>
      <c r="Q75" s="279"/>
      <c r="R75" s="279">
        <v>0</v>
      </c>
      <c r="S75" s="279"/>
      <c r="T75" s="279"/>
      <c r="U75" s="279"/>
      <c r="V75" s="7">
        <v>6462000</v>
      </c>
      <c r="W75" s="279">
        <v>0</v>
      </c>
      <c r="X75" s="279"/>
      <c r="Y75" s="279">
        <v>6462000</v>
      </c>
      <c r="Z75" s="279"/>
      <c r="AA75" s="279"/>
      <c r="AB75" s="282">
        <v>0.16784415584415585</v>
      </c>
      <c r="AC75" s="282"/>
      <c r="AD75" s="279">
        <v>32038000</v>
      </c>
      <c r="AE75" s="279"/>
      <c r="AF75" s="279"/>
      <c r="AG75" s="279"/>
      <c r="AH75" s="279"/>
    </row>
    <row r="76" spans="1:38" ht="14.45" customHeight="1">
      <c r="A76" s="2"/>
      <c r="B76" s="2"/>
      <c r="C76" s="2"/>
      <c r="D76" s="2"/>
      <c r="E76" s="2"/>
      <c r="F76" s="2"/>
      <c r="G76" s="2"/>
      <c r="H76" s="283" t="s">
        <v>67</v>
      </c>
      <c r="I76" s="283"/>
      <c r="J76" s="283"/>
      <c r="K76" s="283"/>
      <c r="L76" s="283"/>
      <c r="M76" s="283" t="s">
        <v>68</v>
      </c>
      <c r="N76" s="283"/>
      <c r="O76" s="283"/>
      <c r="P76" s="279">
        <v>32500000</v>
      </c>
      <c r="Q76" s="279"/>
      <c r="R76" s="279">
        <v>0</v>
      </c>
      <c r="S76" s="279"/>
      <c r="T76" s="279"/>
      <c r="U76" s="279"/>
      <c r="V76" s="7">
        <v>8810000</v>
      </c>
      <c r="W76" s="279">
        <v>0</v>
      </c>
      <c r="X76" s="279"/>
      <c r="Y76" s="279">
        <v>8810000</v>
      </c>
      <c r="Z76" s="279"/>
      <c r="AA76" s="279"/>
      <c r="AB76" s="282">
        <v>0.2710769230769231</v>
      </c>
      <c r="AC76" s="282"/>
      <c r="AD76" s="279">
        <v>23690000</v>
      </c>
      <c r="AE76" s="279"/>
      <c r="AF76" s="279"/>
      <c r="AG76" s="279"/>
      <c r="AH76" s="279"/>
    </row>
    <row r="77" spans="1:38" ht="14.45" customHeight="1">
      <c r="A77" s="2"/>
      <c r="B77" s="2"/>
      <c r="C77" s="2"/>
      <c r="D77" s="2"/>
      <c r="E77" s="286" t="s">
        <v>69</v>
      </c>
      <c r="F77" s="286"/>
      <c r="G77" s="286"/>
      <c r="H77" s="286"/>
      <c r="I77" s="286"/>
      <c r="J77" s="286" t="s">
        <v>70</v>
      </c>
      <c r="K77" s="286"/>
      <c r="L77" s="286"/>
      <c r="M77" s="286"/>
      <c r="N77" s="286"/>
      <c r="O77" s="286"/>
      <c r="P77" s="284">
        <v>1467900000</v>
      </c>
      <c r="Q77" s="284"/>
      <c r="R77" s="284">
        <v>0</v>
      </c>
      <c r="S77" s="284"/>
      <c r="T77" s="284"/>
      <c r="U77" s="284"/>
      <c r="V77" s="10">
        <v>647843675</v>
      </c>
      <c r="W77" s="284">
        <v>0</v>
      </c>
      <c r="X77" s="284"/>
      <c r="Y77" s="284">
        <v>647843675</v>
      </c>
      <c r="Z77" s="284"/>
      <c r="AA77" s="284"/>
      <c r="AB77" s="290">
        <v>0.44134046937802301</v>
      </c>
      <c r="AC77" s="290"/>
      <c r="AD77" s="284">
        <v>820056325</v>
      </c>
      <c r="AE77" s="284"/>
      <c r="AF77" s="284"/>
      <c r="AG77" s="284"/>
      <c r="AH77" s="284"/>
    </row>
    <row r="78" spans="1:38" ht="14.45" customHeight="1">
      <c r="A78" s="2"/>
      <c r="B78" s="2"/>
      <c r="C78" s="2"/>
      <c r="D78" s="2"/>
      <c r="E78" s="2"/>
      <c r="F78" s="283" t="s">
        <v>71</v>
      </c>
      <c r="G78" s="283"/>
      <c r="H78" s="283"/>
      <c r="I78" s="283"/>
      <c r="J78" s="283"/>
      <c r="K78" s="283"/>
      <c r="L78" s="283" t="s">
        <v>127</v>
      </c>
      <c r="M78" s="283"/>
      <c r="N78" s="283"/>
      <c r="O78" s="283"/>
      <c r="P78" s="279">
        <v>1320000000</v>
      </c>
      <c r="Q78" s="279"/>
      <c r="R78" s="279">
        <v>0</v>
      </c>
      <c r="S78" s="279"/>
      <c r="T78" s="279"/>
      <c r="U78" s="279"/>
      <c r="V78" s="7">
        <v>633114400</v>
      </c>
      <c r="W78" s="279">
        <v>0</v>
      </c>
      <c r="X78" s="279"/>
      <c r="Y78" s="279">
        <v>633114400</v>
      </c>
      <c r="Z78" s="279"/>
      <c r="AA78" s="279"/>
      <c r="AB78" s="282">
        <v>0.47963212121212123</v>
      </c>
      <c r="AC78" s="282"/>
      <c r="AD78" s="279">
        <v>686885600</v>
      </c>
      <c r="AE78" s="279"/>
      <c r="AF78" s="279"/>
      <c r="AG78" s="279"/>
      <c r="AH78" s="279"/>
      <c r="AI78" s="11"/>
      <c r="AJ78" s="11"/>
      <c r="AL78" s="12"/>
    </row>
    <row r="79" spans="1:38" ht="18" customHeight="1">
      <c r="A79" s="2"/>
      <c r="B79" s="2"/>
      <c r="C79" s="2"/>
      <c r="D79" s="2"/>
      <c r="E79" s="2"/>
      <c r="F79" s="2"/>
      <c r="G79" s="2"/>
      <c r="H79" s="283" t="s">
        <v>73</v>
      </c>
      <c r="I79" s="283"/>
      <c r="J79" s="283"/>
      <c r="K79" s="283"/>
      <c r="L79" s="283"/>
      <c r="M79" s="283" t="s">
        <v>74</v>
      </c>
      <c r="N79" s="283"/>
      <c r="O79" s="283"/>
      <c r="P79" s="279">
        <v>268800000</v>
      </c>
      <c r="Q79" s="279"/>
      <c r="R79" s="279">
        <v>0</v>
      </c>
      <c r="S79" s="279"/>
      <c r="T79" s="279"/>
      <c r="U79" s="279"/>
      <c r="V79" s="7">
        <v>53950000</v>
      </c>
      <c r="W79" s="279">
        <v>0</v>
      </c>
      <c r="X79" s="279"/>
      <c r="Y79" s="279">
        <v>53950000</v>
      </c>
      <c r="Z79" s="279"/>
      <c r="AA79" s="279"/>
      <c r="AB79" s="282">
        <v>0.20070684523809523</v>
      </c>
      <c r="AC79" s="282"/>
      <c r="AD79" s="279">
        <v>214850000</v>
      </c>
      <c r="AE79" s="279"/>
      <c r="AF79" s="279"/>
      <c r="AG79" s="279"/>
      <c r="AH79" s="279"/>
    </row>
    <row r="80" spans="1:38" ht="18" customHeight="1">
      <c r="A80" s="2"/>
      <c r="B80" s="2"/>
      <c r="C80" s="2"/>
      <c r="D80" s="2"/>
      <c r="E80" s="2"/>
      <c r="F80" s="2"/>
      <c r="G80" s="2"/>
      <c r="H80" s="283" t="s">
        <v>75</v>
      </c>
      <c r="I80" s="283"/>
      <c r="J80" s="283"/>
      <c r="K80" s="283"/>
      <c r="L80" s="283"/>
      <c r="M80" s="283" t="s">
        <v>76</v>
      </c>
      <c r="N80" s="283"/>
      <c r="O80" s="283"/>
      <c r="P80" s="279">
        <v>960000000</v>
      </c>
      <c r="Q80" s="279"/>
      <c r="R80" s="279">
        <v>0</v>
      </c>
      <c r="S80" s="279"/>
      <c r="T80" s="279"/>
      <c r="U80" s="279"/>
      <c r="V80" s="7">
        <v>579164400</v>
      </c>
      <c r="W80" s="279">
        <v>0</v>
      </c>
      <c r="X80" s="279"/>
      <c r="Y80" s="279">
        <v>579164400</v>
      </c>
      <c r="Z80" s="279"/>
      <c r="AA80" s="279"/>
      <c r="AB80" s="282">
        <v>0.60329624999999998</v>
      </c>
      <c r="AC80" s="282"/>
      <c r="AD80" s="279">
        <v>380835600</v>
      </c>
      <c r="AE80" s="279"/>
      <c r="AF80" s="279"/>
      <c r="AG80" s="279"/>
      <c r="AH80" s="279"/>
    </row>
    <row r="81" spans="1:38" ht="18" customHeight="1">
      <c r="A81" s="2"/>
      <c r="B81" s="2"/>
      <c r="C81" s="2"/>
      <c r="D81" s="2"/>
      <c r="E81" s="2"/>
      <c r="F81" s="2"/>
      <c r="G81" s="2"/>
      <c r="H81" s="283" t="s">
        <v>77</v>
      </c>
      <c r="I81" s="283"/>
      <c r="J81" s="283"/>
      <c r="K81" s="283"/>
      <c r="L81" s="283"/>
      <c r="M81" s="283" t="s">
        <v>78</v>
      </c>
      <c r="N81" s="283"/>
      <c r="O81" s="283"/>
      <c r="P81" s="279">
        <v>91200000</v>
      </c>
      <c r="Q81" s="279"/>
      <c r="R81" s="279">
        <v>0</v>
      </c>
      <c r="S81" s="279"/>
      <c r="T81" s="279"/>
      <c r="U81" s="279"/>
      <c r="V81" s="7">
        <v>0</v>
      </c>
      <c r="W81" s="279">
        <v>0</v>
      </c>
      <c r="X81" s="279"/>
      <c r="Y81" s="279">
        <v>0</v>
      </c>
      <c r="Z81" s="279"/>
      <c r="AA81" s="279"/>
      <c r="AB81" s="282">
        <v>0</v>
      </c>
      <c r="AC81" s="282"/>
      <c r="AD81" s="279">
        <v>91200000</v>
      </c>
      <c r="AE81" s="279"/>
      <c r="AF81" s="279"/>
      <c r="AG81" s="279"/>
      <c r="AH81" s="279"/>
    </row>
    <row r="82" spans="1:38" ht="14.45" customHeight="1">
      <c r="A82" s="2"/>
      <c r="B82" s="2"/>
      <c r="C82" s="2"/>
      <c r="D82" s="2"/>
      <c r="E82" s="2"/>
      <c r="F82" s="283" t="s">
        <v>80</v>
      </c>
      <c r="G82" s="283"/>
      <c r="H82" s="283"/>
      <c r="I82" s="283"/>
      <c r="J82" s="283"/>
      <c r="K82" s="283"/>
      <c r="L82" s="283" t="s">
        <v>128</v>
      </c>
      <c r="M82" s="283"/>
      <c r="N82" s="283"/>
      <c r="O82" s="283"/>
      <c r="P82" s="279">
        <v>147900000</v>
      </c>
      <c r="Q82" s="279"/>
      <c r="R82" s="279">
        <v>0</v>
      </c>
      <c r="S82" s="279"/>
      <c r="T82" s="279"/>
      <c r="U82" s="279"/>
      <c r="V82" s="7">
        <v>14729275</v>
      </c>
      <c r="W82" s="279">
        <v>0</v>
      </c>
      <c r="X82" s="279"/>
      <c r="Y82" s="279">
        <v>14729275</v>
      </c>
      <c r="Z82" s="279"/>
      <c r="AA82" s="279"/>
      <c r="AB82" s="282">
        <v>9.9589418526031107E-2</v>
      </c>
      <c r="AC82" s="282"/>
      <c r="AD82" s="279">
        <v>133170725</v>
      </c>
      <c r="AE82" s="279"/>
      <c r="AF82" s="279"/>
      <c r="AG82" s="279"/>
      <c r="AH82" s="279"/>
      <c r="AI82" s="11"/>
      <c r="AJ82" s="11"/>
      <c r="AL82" s="12"/>
    </row>
    <row r="83" spans="1:38" ht="14.45" customHeight="1">
      <c r="A83" s="2"/>
      <c r="B83" s="2"/>
      <c r="C83" s="2"/>
      <c r="D83" s="2"/>
      <c r="E83" s="2"/>
      <c r="F83" s="2"/>
      <c r="G83" s="2"/>
      <c r="H83" s="283" t="s">
        <v>82</v>
      </c>
      <c r="I83" s="283"/>
      <c r="J83" s="283"/>
      <c r="K83" s="283"/>
      <c r="L83" s="283"/>
      <c r="M83" s="283" t="s">
        <v>83</v>
      </c>
      <c r="N83" s="283"/>
      <c r="O83" s="283"/>
      <c r="P83" s="279">
        <v>3900000</v>
      </c>
      <c r="Q83" s="279"/>
      <c r="R83" s="279">
        <v>0</v>
      </c>
      <c r="S83" s="279"/>
      <c r="T83" s="279"/>
      <c r="U83" s="279"/>
      <c r="V83" s="7">
        <v>3589275</v>
      </c>
      <c r="W83" s="279">
        <v>0</v>
      </c>
      <c r="X83" s="279"/>
      <c r="Y83" s="279">
        <v>3589275</v>
      </c>
      <c r="Z83" s="279"/>
      <c r="AA83" s="279"/>
      <c r="AB83" s="282">
        <v>0.9203269230769231</v>
      </c>
      <c r="AC83" s="282"/>
      <c r="AD83" s="279">
        <v>310725</v>
      </c>
      <c r="AE83" s="279"/>
      <c r="AF83" s="279"/>
      <c r="AG83" s="279"/>
      <c r="AH83" s="279"/>
    </row>
    <row r="84" spans="1:38" ht="14.45" customHeight="1">
      <c r="A84" s="2"/>
      <c r="B84" s="2"/>
      <c r="C84" s="2"/>
      <c r="D84" s="2"/>
      <c r="E84" s="2"/>
      <c r="F84" s="2"/>
      <c r="G84" s="2"/>
      <c r="H84" s="283" t="s">
        <v>84</v>
      </c>
      <c r="I84" s="283"/>
      <c r="J84" s="283"/>
      <c r="K84" s="283"/>
      <c r="L84" s="283"/>
      <c r="M84" s="283" t="s">
        <v>85</v>
      </c>
      <c r="N84" s="283"/>
      <c r="O84" s="283"/>
      <c r="P84" s="279">
        <v>20000000</v>
      </c>
      <c r="Q84" s="279"/>
      <c r="R84" s="279">
        <v>0</v>
      </c>
      <c r="S84" s="279"/>
      <c r="T84" s="279"/>
      <c r="U84" s="279"/>
      <c r="V84" s="7">
        <v>0</v>
      </c>
      <c r="W84" s="279">
        <v>0</v>
      </c>
      <c r="X84" s="279"/>
      <c r="Y84" s="279">
        <v>0</v>
      </c>
      <c r="Z84" s="279"/>
      <c r="AA84" s="279"/>
      <c r="AB84" s="282">
        <v>0</v>
      </c>
      <c r="AC84" s="282"/>
      <c r="AD84" s="279">
        <v>20000000</v>
      </c>
      <c r="AE84" s="279"/>
      <c r="AF84" s="279"/>
      <c r="AG84" s="279"/>
      <c r="AH84" s="279"/>
    </row>
    <row r="85" spans="1:38" ht="14.45" customHeight="1">
      <c r="A85" s="2"/>
      <c r="B85" s="2"/>
      <c r="C85" s="2"/>
      <c r="D85" s="2"/>
      <c r="E85" s="2"/>
      <c r="F85" s="2"/>
      <c r="G85" s="2"/>
      <c r="H85" s="283" t="s">
        <v>65</v>
      </c>
      <c r="I85" s="283"/>
      <c r="J85" s="283"/>
      <c r="K85" s="283"/>
      <c r="L85" s="283"/>
      <c r="M85" s="283" t="s">
        <v>66</v>
      </c>
      <c r="N85" s="283"/>
      <c r="O85" s="283"/>
      <c r="P85" s="279">
        <v>77000000</v>
      </c>
      <c r="Q85" s="279"/>
      <c r="R85" s="279">
        <v>0</v>
      </c>
      <c r="S85" s="279"/>
      <c r="T85" s="279"/>
      <c r="U85" s="279"/>
      <c r="V85" s="7">
        <v>6080000</v>
      </c>
      <c r="W85" s="279">
        <v>0</v>
      </c>
      <c r="X85" s="279"/>
      <c r="Y85" s="279">
        <v>6080000</v>
      </c>
      <c r="Z85" s="279"/>
      <c r="AA85" s="279"/>
      <c r="AB85" s="282">
        <v>7.8961038961038968E-2</v>
      </c>
      <c r="AC85" s="282"/>
      <c r="AD85" s="279">
        <v>70920000</v>
      </c>
      <c r="AE85" s="279"/>
      <c r="AF85" s="279"/>
      <c r="AG85" s="279"/>
      <c r="AH85" s="279"/>
    </row>
    <row r="86" spans="1:38" ht="24" customHeight="1">
      <c r="A86" s="2"/>
      <c r="B86" s="294" t="s">
        <v>92</v>
      </c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"/>
      <c r="AG86" s="2"/>
      <c r="AH86" s="2"/>
    </row>
    <row r="87" spans="1:38" ht="14.45" customHeight="1">
      <c r="A87" s="2"/>
      <c r="B87" s="2"/>
      <c r="C87" s="2"/>
      <c r="D87" s="2"/>
      <c r="E87" s="2"/>
      <c r="F87" s="2"/>
      <c r="G87" s="2"/>
      <c r="H87" s="283" t="s">
        <v>67</v>
      </c>
      <c r="I87" s="283"/>
      <c r="J87" s="283"/>
      <c r="K87" s="283"/>
      <c r="L87" s="283"/>
      <c r="M87" s="283" t="s">
        <v>68</v>
      </c>
      <c r="N87" s="283"/>
      <c r="O87" s="283"/>
      <c r="P87" s="279">
        <v>47000000</v>
      </c>
      <c r="Q87" s="279"/>
      <c r="R87" s="279">
        <v>0</v>
      </c>
      <c r="S87" s="279"/>
      <c r="T87" s="279"/>
      <c r="U87" s="279"/>
      <c r="V87" s="7">
        <v>5060000</v>
      </c>
      <c r="W87" s="279">
        <v>0</v>
      </c>
      <c r="X87" s="279"/>
      <c r="Y87" s="279">
        <v>5060000</v>
      </c>
      <c r="Z87" s="279"/>
      <c r="AA87" s="279"/>
      <c r="AB87" s="282">
        <v>0.10765957446808511</v>
      </c>
      <c r="AC87" s="282"/>
      <c r="AD87" s="279">
        <v>41940000</v>
      </c>
      <c r="AE87" s="279"/>
      <c r="AF87" s="279"/>
      <c r="AG87" s="279"/>
      <c r="AH87" s="279"/>
    </row>
    <row r="88" spans="1:38" ht="14.45" customHeight="1">
      <c r="A88" s="2"/>
      <c r="B88" s="2"/>
      <c r="C88" s="2"/>
      <c r="D88" s="2"/>
      <c r="E88" s="286" t="s">
        <v>86</v>
      </c>
      <c r="F88" s="286"/>
      <c r="G88" s="286"/>
      <c r="H88" s="286"/>
      <c r="I88" s="286"/>
      <c r="J88" s="286" t="s">
        <v>87</v>
      </c>
      <c r="K88" s="286"/>
      <c r="L88" s="286"/>
      <c r="M88" s="286"/>
      <c r="N88" s="286"/>
      <c r="O88" s="286"/>
      <c r="P88" s="284">
        <v>63100000</v>
      </c>
      <c r="Q88" s="284"/>
      <c r="R88" s="284">
        <v>0</v>
      </c>
      <c r="S88" s="284"/>
      <c r="T88" s="284"/>
      <c r="U88" s="284"/>
      <c r="V88" s="10">
        <v>4305500</v>
      </c>
      <c r="W88" s="284">
        <v>0</v>
      </c>
      <c r="X88" s="284"/>
      <c r="Y88" s="284">
        <v>4305500</v>
      </c>
      <c r="Z88" s="284"/>
      <c r="AA88" s="284"/>
      <c r="AB88" s="290">
        <v>6.8232963549920755E-2</v>
      </c>
      <c r="AC88" s="290"/>
      <c r="AD88" s="284">
        <v>58794500</v>
      </c>
      <c r="AE88" s="284"/>
      <c r="AF88" s="284"/>
      <c r="AG88" s="284"/>
      <c r="AH88" s="284"/>
    </row>
    <row r="89" spans="1:38" ht="14.45" customHeight="1">
      <c r="A89" s="2"/>
      <c r="B89" s="2"/>
      <c r="C89" s="2"/>
      <c r="D89" s="2"/>
      <c r="E89" s="2"/>
      <c r="F89" s="283" t="s">
        <v>129</v>
      </c>
      <c r="G89" s="283"/>
      <c r="H89" s="283"/>
      <c r="I89" s="283"/>
      <c r="J89" s="283"/>
      <c r="K89" s="283"/>
      <c r="L89" s="283" t="s">
        <v>130</v>
      </c>
      <c r="M89" s="283"/>
      <c r="N89" s="283"/>
      <c r="O89" s="283"/>
      <c r="P89" s="279">
        <v>63100000</v>
      </c>
      <c r="Q89" s="279"/>
      <c r="R89" s="279">
        <v>0</v>
      </c>
      <c r="S89" s="279"/>
      <c r="T89" s="279"/>
      <c r="U89" s="279"/>
      <c r="V89" s="7">
        <v>4305500</v>
      </c>
      <c r="W89" s="279">
        <v>0</v>
      </c>
      <c r="X89" s="279"/>
      <c r="Y89" s="279">
        <v>4305500</v>
      </c>
      <c r="Z89" s="279"/>
      <c r="AA89" s="279"/>
      <c r="AB89" s="282">
        <v>6.8232963549920755E-2</v>
      </c>
      <c r="AC89" s="282"/>
      <c r="AD89" s="279">
        <v>58794500</v>
      </c>
      <c r="AE89" s="279"/>
      <c r="AF89" s="279"/>
      <c r="AG89" s="279"/>
      <c r="AH89" s="279"/>
      <c r="AI89" s="11"/>
      <c r="AJ89" s="11"/>
      <c r="AL89" s="12"/>
    </row>
    <row r="90" spans="1:38" ht="14.45" customHeight="1">
      <c r="A90" s="2"/>
      <c r="B90" s="2"/>
      <c r="C90" s="2"/>
      <c r="D90" s="2"/>
      <c r="E90" s="2"/>
      <c r="F90" s="2"/>
      <c r="G90" s="2"/>
      <c r="H90" s="283" t="s">
        <v>65</v>
      </c>
      <c r="I90" s="283"/>
      <c r="J90" s="283"/>
      <c r="K90" s="283"/>
      <c r="L90" s="283"/>
      <c r="M90" s="283" t="s">
        <v>66</v>
      </c>
      <c r="N90" s="283"/>
      <c r="O90" s="283"/>
      <c r="P90" s="279">
        <v>35100000</v>
      </c>
      <c r="Q90" s="279"/>
      <c r="R90" s="279">
        <v>0</v>
      </c>
      <c r="S90" s="279"/>
      <c r="T90" s="279"/>
      <c r="U90" s="279"/>
      <c r="V90" s="7">
        <v>4305500</v>
      </c>
      <c r="W90" s="279">
        <v>0</v>
      </c>
      <c r="X90" s="279"/>
      <c r="Y90" s="279">
        <v>4305500</v>
      </c>
      <c r="Z90" s="279"/>
      <c r="AA90" s="279"/>
      <c r="AB90" s="282">
        <v>0.12266381766381766</v>
      </c>
      <c r="AC90" s="282"/>
      <c r="AD90" s="279">
        <v>30794500</v>
      </c>
      <c r="AE90" s="279"/>
      <c r="AF90" s="279"/>
      <c r="AG90" s="279"/>
      <c r="AH90" s="279"/>
    </row>
    <row r="91" spans="1:38" ht="14.45" customHeight="1">
      <c r="A91" s="2"/>
      <c r="B91" s="2"/>
      <c r="C91" s="2"/>
      <c r="D91" s="2"/>
      <c r="E91" s="2"/>
      <c r="F91" s="2"/>
      <c r="G91" s="2"/>
      <c r="H91" s="283" t="s">
        <v>67</v>
      </c>
      <c r="I91" s="283"/>
      <c r="J91" s="283"/>
      <c r="K91" s="283"/>
      <c r="L91" s="283"/>
      <c r="M91" s="283" t="s">
        <v>68</v>
      </c>
      <c r="N91" s="283"/>
      <c r="O91" s="283"/>
      <c r="P91" s="279">
        <v>28000000</v>
      </c>
      <c r="Q91" s="279"/>
      <c r="R91" s="279">
        <v>0</v>
      </c>
      <c r="S91" s="279"/>
      <c r="T91" s="279"/>
      <c r="U91" s="279"/>
      <c r="V91" s="7">
        <v>0</v>
      </c>
      <c r="W91" s="279">
        <v>0</v>
      </c>
      <c r="X91" s="279"/>
      <c r="Y91" s="279">
        <v>0</v>
      </c>
      <c r="Z91" s="279"/>
      <c r="AA91" s="279"/>
      <c r="AB91" s="282">
        <v>0</v>
      </c>
      <c r="AC91" s="282"/>
      <c r="AD91" s="279">
        <v>28000000</v>
      </c>
      <c r="AE91" s="279"/>
      <c r="AF91" s="279"/>
      <c r="AG91" s="279"/>
      <c r="AH91" s="279"/>
    </row>
    <row r="92" spans="1:38" ht="14.45" customHeight="1">
      <c r="A92" s="2"/>
      <c r="B92" s="283" t="s">
        <v>131</v>
      </c>
      <c r="C92" s="283"/>
      <c r="D92" s="283"/>
      <c r="E92" s="283"/>
      <c r="F92" s="283"/>
      <c r="G92" s="283"/>
      <c r="H92" s="283"/>
      <c r="I92" s="283" t="s">
        <v>132</v>
      </c>
      <c r="J92" s="283"/>
      <c r="K92" s="283"/>
      <c r="L92" s="283"/>
      <c r="M92" s="283"/>
      <c r="N92" s="283"/>
      <c r="O92" s="283"/>
      <c r="P92" s="279">
        <v>1800000000</v>
      </c>
      <c r="Q92" s="279"/>
      <c r="R92" s="279">
        <v>0</v>
      </c>
      <c r="S92" s="279"/>
      <c r="T92" s="279"/>
      <c r="U92" s="279"/>
      <c r="V92" s="7">
        <v>450374175</v>
      </c>
      <c r="W92" s="279">
        <v>0</v>
      </c>
      <c r="X92" s="279"/>
      <c r="Y92" s="279">
        <v>450374175</v>
      </c>
      <c r="Z92" s="279"/>
      <c r="AA92" s="279"/>
      <c r="AB92" s="282">
        <v>0.25020787500000002</v>
      </c>
      <c r="AC92" s="282"/>
      <c r="AD92" s="279">
        <v>1349625825</v>
      </c>
      <c r="AE92" s="279"/>
      <c r="AF92" s="279"/>
      <c r="AG92" s="279"/>
      <c r="AH92" s="279"/>
    </row>
    <row r="93" spans="1:38" ht="14.45" customHeight="1">
      <c r="A93" s="2"/>
      <c r="B93" s="2"/>
      <c r="C93" s="295" t="s">
        <v>57</v>
      </c>
      <c r="D93" s="295"/>
      <c r="E93" s="295"/>
      <c r="F93" s="295"/>
      <c r="G93" s="295" t="s">
        <v>58</v>
      </c>
      <c r="H93" s="295"/>
      <c r="I93" s="295"/>
      <c r="J93" s="295"/>
      <c r="K93" s="295"/>
      <c r="L93" s="295"/>
      <c r="M93" s="295"/>
      <c r="N93" s="295"/>
      <c r="O93" s="295"/>
      <c r="P93" s="280">
        <v>1800000000</v>
      </c>
      <c r="Q93" s="280"/>
      <c r="R93" s="280">
        <v>0</v>
      </c>
      <c r="S93" s="280"/>
      <c r="T93" s="280"/>
      <c r="U93" s="280"/>
      <c r="V93" s="8">
        <v>450374175</v>
      </c>
      <c r="W93" s="280">
        <v>0</v>
      </c>
      <c r="X93" s="280"/>
      <c r="Y93" s="280">
        <v>450374175</v>
      </c>
      <c r="Z93" s="280"/>
      <c r="AA93" s="280"/>
      <c r="AB93" s="298">
        <v>0.25020787500000002</v>
      </c>
      <c r="AC93" s="298"/>
      <c r="AD93" s="280">
        <v>1349625825</v>
      </c>
      <c r="AE93" s="280"/>
      <c r="AF93" s="280"/>
      <c r="AG93" s="280"/>
      <c r="AH93" s="280"/>
    </row>
    <row r="94" spans="1:38" ht="14.45" customHeight="1">
      <c r="A94" s="2"/>
      <c r="B94" s="2"/>
      <c r="C94" s="288" t="s">
        <v>59</v>
      </c>
      <c r="D94" s="288"/>
      <c r="E94" s="288"/>
      <c r="F94" s="288"/>
      <c r="G94" s="288"/>
      <c r="H94" s="288"/>
      <c r="I94" s="288"/>
      <c r="J94" s="288"/>
      <c r="K94" s="297" t="s">
        <v>133</v>
      </c>
      <c r="L94" s="297"/>
      <c r="M94" s="297"/>
      <c r="N94" s="297"/>
      <c r="O94" s="297"/>
      <c r="P94" s="281">
        <v>1800000000</v>
      </c>
      <c r="Q94" s="281"/>
      <c r="R94" s="281">
        <v>0</v>
      </c>
      <c r="S94" s="281"/>
      <c r="T94" s="281"/>
      <c r="U94" s="281"/>
      <c r="V94" s="9">
        <v>450374175</v>
      </c>
      <c r="W94" s="299">
        <v>0</v>
      </c>
      <c r="X94" s="299"/>
      <c r="Y94" s="281">
        <v>450374175</v>
      </c>
      <c r="Z94" s="281"/>
      <c r="AA94" s="281"/>
      <c r="AB94" s="291">
        <v>0.25020787500000002</v>
      </c>
      <c r="AC94" s="291"/>
      <c r="AD94" s="281">
        <v>1349625825</v>
      </c>
      <c r="AE94" s="281"/>
      <c r="AF94" s="281"/>
      <c r="AG94" s="281"/>
      <c r="AH94" s="281"/>
    </row>
    <row r="95" spans="1:38" ht="14.45" customHeight="1">
      <c r="A95" s="2"/>
      <c r="B95" s="2"/>
      <c r="C95" s="2"/>
      <c r="D95" s="2"/>
      <c r="E95" s="286" t="s">
        <v>61</v>
      </c>
      <c r="F95" s="286"/>
      <c r="G95" s="286"/>
      <c r="H95" s="286"/>
      <c r="I95" s="286"/>
      <c r="J95" s="286" t="s">
        <v>62</v>
      </c>
      <c r="K95" s="286"/>
      <c r="L95" s="286"/>
      <c r="M95" s="286"/>
      <c r="N95" s="286"/>
      <c r="O95" s="286"/>
      <c r="P95" s="284">
        <v>80200000</v>
      </c>
      <c r="Q95" s="284"/>
      <c r="R95" s="284">
        <v>0</v>
      </c>
      <c r="S95" s="284"/>
      <c r="T95" s="284"/>
      <c r="U95" s="284"/>
      <c r="V95" s="10">
        <v>980000</v>
      </c>
      <c r="W95" s="284">
        <v>0</v>
      </c>
      <c r="X95" s="284"/>
      <c r="Y95" s="284">
        <v>980000</v>
      </c>
      <c r="Z95" s="284"/>
      <c r="AA95" s="284"/>
      <c r="AB95" s="290">
        <v>1.2219451371571072E-2</v>
      </c>
      <c r="AC95" s="290"/>
      <c r="AD95" s="284">
        <v>79220000</v>
      </c>
      <c r="AE95" s="284"/>
      <c r="AF95" s="284"/>
      <c r="AG95" s="284"/>
      <c r="AH95" s="284"/>
    </row>
    <row r="96" spans="1:38" ht="14.45" customHeight="1">
      <c r="A96" s="2"/>
      <c r="B96" s="2"/>
      <c r="C96" s="2"/>
      <c r="D96" s="2"/>
      <c r="E96" s="2"/>
      <c r="F96" s="283" t="s">
        <v>63</v>
      </c>
      <c r="G96" s="283"/>
      <c r="H96" s="283"/>
      <c r="I96" s="283"/>
      <c r="J96" s="283"/>
      <c r="K96" s="283"/>
      <c r="L96" s="283" t="s">
        <v>134</v>
      </c>
      <c r="M96" s="283"/>
      <c r="N96" s="283"/>
      <c r="O96" s="283"/>
      <c r="P96" s="279">
        <v>80200000</v>
      </c>
      <c r="Q96" s="279"/>
      <c r="R96" s="279">
        <v>0</v>
      </c>
      <c r="S96" s="279"/>
      <c r="T96" s="279"/>
      <c r="U96" s="279"/>
      <c r="V96" s="7">
        <v>980000</v>
      </c>
      <c r="W96" s="279">
        <v>0</v>
      </c>
      <c r="X96" s="279"/>
      <c r="Y96" s="279">
        <v>980000</v>
      </c>
      <c r="Z96" s="279"/>
      <c r="AA96" s="279"/>
      <c r="AB96" s="282">
        <v>1.2219451371571072E-2</v>
      </c>
      <c r="AC96" s="282"/>
      <c r="AD96" s="279">
        <v>79220000</v>
      </c>
      <c r="AE96" s="279"/>
      <c r="AF96" s="279"/>
      <c r="AG96" s="279"/>
      <c r="AH96" s="279"/>
      <c r="AI96" s="11"/>
      <c r="AJ96" s="11"/>
      <c r="AL96" s="12"/>
    </row>
    <row r="97" spans="1:38" ht="14.45" customHeight="1">
      <c r="A97" s="2"/>
      <c r="B97" s="2"/>
      <c r="C97" s="2"/>
      <c r="D97" s="2"/>
      <c r="E97" s="2"/>
      <c r="F97" s="2"/>
      <c r="G97" s="2"/>
      <c r="H97" s="283" t="s">
        <v>65</v>
      </c>
      <c r="I97" s="283"/>
      <c r="J97" s="283"/>
      <c r="K97" s="283"/>
      <c r="L97" s="283"/>
      <c r="M97" s="283" t="s">
        <v>66</v>
      </c>
      <c r="N97" s="283"/>
      <c r="O97" s="283"/>
      <c r="P97" s="279">
        <v>49200000</v>
      </c>
      <c r="Q97" s="279"/>
      <c r="R97" s="279">
        <v>0</v>
      </c>
      <c r="S97" s="279"/>
      <c r="T97" s="279"/>
      <c r="U97" s="279"/>
      <c r="V97" s="7">
        <v>830000</v>
      </c>
      <c r="W97" s="279">
        <v>0</v>
      </c>
      <c r="X97" s="279"/>
      <c r="Y97" s="279">
        <v>830000</v>
      </c>
      <c r="Z97" s="279"/>
      <c r="AA97" s="279"/>
      <c r="AB97" s="282">
        <v>1.6869918699186991E-2</v>
      </c>
      <c r="AC97" s="282"/>
      <c r="AD97" s="279">
        <v>48370000</v>
      </c>
      <c r="AE97" s="279"/>
      <c r="AF97" s="279"/>
      <c r="AG97" s="279"/>
      <c r="AH97" s="279"/>
    </row>
    <row r="98" spans="1:38" ht="14.45" customHeight="1">
      <c r="A98" s="2"/>
      <c r="B98" s="2"/>
      <c r="C98" s="2"/>
      <c r="D98" s="2"/>
      <c r="E98" s="2"/>
      <c r="F98" s="2"/>
      <c r="G98" s="2"/>
      <c r="H98" s="283" t="s">
        <v>67</v>
      </c>
      <c r="I98" s="283"/>
      <c r="J98" s="283"/>
      <c r="K98" s="283"/>
      <c r="L98" s="283"/>
      <c r="M98" s="283" t="s">
        <v>68</v>
      </c>
      <c r="N98" s="283"/>
      <c r="O98" s="283"/>
      <c r="P98" s="279">
        <v>31000000</v>
      </c>
      <c r="Q98" s="279"/>
      <c r="R98" s="279">
        <v>0</v>
      </c>
      <c r="S98" s="279"/>
      <c r="T98" s="279"/>
      <c r="U98" s="279"/>
      <c r="V98" s="7">
        <v>150000</v>
      </c>
      <c r="W98" s="279">
        <v>0</v>
      </c>
      <c r="X98" s="279"/>
      <c r="Y98" s="279">
        <v>150000</v>
      </c>
      <c r="Z98" s="279"/>
      <c r="AA98" s="279"/>
      <c r="AB98" s="282">
        <v>4.8387096774193551E-3</v>
      </c>
      <c r="AC98" s="282"/>
      <c r="AD98" s="279">
        <v>30850000</v>
      </c>
      <c r="AE98" s="279"/>
      <c r="AF98" s="279"/>
      <c r="AG98" s="279"/>
      <c r="AH98" s="279"/>
    </row>
    <row r="99" spans="1:38" ht="14.45" customHeight="1">
      <c r="A99" s="2"/>
      <c r="B99" s="2"/>
      <c r="C99" s="2"/>
      <c r="D99" s="2"/>
      <c r="E99" s="286" t="s">
        <v>69</v>
      </c>
      <c r="F99" s="286"/>
      <c r="G99" s="286"/>
      <c r="H99" s="286"/>
      <c r="I99" s="286"/>
      <c r="J99" s="286" t="s">
        <v>135</v>
      </c>
      <c r="K99" s="286"/>
      <c r="L99" s="286"/>
      <c r="M99" s="286"/>
      <c r="N99" s="286"/>
      <c r="O99" s="286"/>
      <c r="P99" s="284">
        <v>1533800000</v>
      </c>
      <c r="Q99" s="284"/>
      <c r="R99" s="284">
        <v>0</v>
      </c>
      <c r="S99" s="284"/>
      <c r="T99" s="284"/>
      <c r="U99" s="284"/>
      <c r="V99" s="10">
        <v>449394175</v>
      </c>
      <c r="W99" s="284">
        <v>0</v>
      </c>
      <c r="X99" s="284"/>
      <c r="Y99" s="284">
        <v>449394175</v>
      </c>
      <c r="Z99" s="284"/>
      <c r="AA99" s="284"/>
      <c r="AB99" s="290">
        <v>0.2929939855261442</v>
      </c>
      <c r="AC99" s="290"/>
      <c r="AD99" s="284">
        <v>1084405825</v>
      </c>
      <c r="AE99" s="284"/>
      <c r="AF99" s="284"/>
      <c r="AG99" s="284"/>
      <c r="AH99" s="284"/>
    </row>
    <row r="100" spans="1:38" ht="14.45" customHeight="1">
      <c r="A100" s="2"/>
      <c r="B100" s="2"/>
      <c r="C100" s="2"/>
      <c r="D100" s="2"/>
      <c r="E100" s="2"/>
      <c r="F100" s="283" t="s">
        <v>71</v>
      </c>
      <c r="G100" s="283"/>
      <c r="H100" s="283"/>
      <c r="I100" s="283"/>
      <c r="J100" s="283"/>
      <c r="K100" s="283"/>
      <c r="L100" s="283" t="s">
        <v>136</v>
      </c>
      <c r="M100" s="283"/>
      <c r="N100" s="283"/>
      <c r="O100" s="283"/>
      <c r="P100" s="279">
        <v>1320000000</v>
      </c>
      <c r="Q100" s="279"/>
      <c r="R100" s="279">
        <v>0</v>
      </c>
      <c r="S100" s="279"/>
      <c r="T100" s="279"/>
      <c r="U100" s="279"/>
      <c r="V100" s="7">
        <v>415718600</v>
      </c>
      <c r="W100" s="279">
        <v>0</v>
      </c>
      <c r="X100" s="279"/>
      <c r="Y100" s="279">
        <v>415718600</v>
      </c>
      <c r="Z100" s="279"/>
      <c r="AA100" s="279"/>
      <c r="AB100" s="282">
        <v>0.31493833333333332</v>
      </c>
      <c r="AC100" s="282"/>
      <c r="AD100" s="279">
        <v>904281400</v>
      </c>
      <c r="AE100" s="279"/>
      <c r="AF100" s="279"/>
      <c r="AG100" s="279"/>
      <c r="AH100" s="279"/>
      <c r="AI100" s="11"/>
      <c r="AJ100" s="11"/>
      <c r="AL100" s="12"/>
    </row>
    <row r="101" spans="1:38" ht="18" customHeight="1">
      <c r="A101" s="2"/>
      <c r="B101" s="2"/>
      <c r="C101" s="2"/>
      <c r="D101" s="2"/>
      <c r="E101" s="2"/>
      <c r="F101" s="2"/>
      <c r="G101" s="2"/>
      <c r="H101" s="283" t="s">
        <v>73</v>
      </c>
      <c r="I101" s="283"/>
      <c r="J101" s="283"/>
      <c r="K101" s="283"/>
      <c r="L101" s="283"/>
      <c r="M101" s="283" t="s">
        <v>74</v>
      </c>
      <c r="N101" s="283"/>
      <c r="O101" s="283"/>
      <c r="P101" s="279">
        <v>240000000</v>
      </c>
      <c r="Q101" s="279"/>
      <c r="R101" s="279">
        <v>0</v>
      </c>
      <c r="S101" s="279"/>
      <c r="T101" s="279"/>
      <c r="U101" s="279"/>
      <c r="V101" s="7">
        <v>0</v>
      </c>
      <c r="W101" s="279">
        <v>0</v>
      </c>
      <c r="X101" s="279"/>
      <c r="Y101" s="279">
        <v>0</v>
      </c>
      <c r="Z101" s="279"/>
      <c r="AA101" s="279"/>
      <c r="AB101" s="282">
        <v>0</v>
      </c>
      <c r="AC101" s="282"/>
      <c r="AD101" s="279">
        <v>240000000</v>
      </c>
      <c r="AE101" s="279"/>
      <c r="AF101" s="279"/>
      <c r="AG101" s="279"/>
      <c r="AH101" s="279"/>
    </row>
    <row r="102" spans="1:38" ht="18" customHeight="1">
      <c r="A102" s="2"/>
      <c r="B102" s="2"/>
      <c r="C102" s="2"/>
      <c r="D102" s="2"/>
      <c r="E102" s="2"/>
      <c r="F102" s="2"/>
      <c r="G102" s="2"/>
      <c r="H102" s="283" t="s">
        <v>75</v>
      </c>
      <c r="I102" s="283"/>
      <c r="J102" s="283"/>
      <c r="K102" s="283"/>
      <c r="L102" s="283"/>
      <c r="M102" s="283" t="s">
        <v>76</v>
      </c>
      <c r="N102" s="283"/>
      <c r="O102" s="283"/>
      <c r="P102" s="279">
        <v>840000000</v>
      </c>
      <c r="Q102" s="279"/>
      <c r="R102" s="279">
        <v>0</v>
      </c>
      <c r="S102" s="279"/>
      <c r="T102" s="279"/>
      <c r="U102" s="279"/>
      <c r="V102" s="7">
        <v>415718600</v>
      </c>
      <c r="W102" s="279">
        <v>0</v>
      </c>
      <c r="X102" s="279"/>
      <c r="Y102" s="279">
        <v>415718600</v>
      </c>
      <c r="Z102" s="279"/>
      <c r="AA102" s="279"/>
      <c r="AB102" s="282">
        <v>0.49490309523809523</v>
      </c>
      <c r="AC102" s="282"/>
      <c r="AD102" s="279">
        <v>424281400</v>
      </c>
      <c r="AE102" s="279"/>
      <c r="AF102" s="279"/>
      <c r="AG102" s="279"/>
      <c r="AH102" s="279"/>
    </row>
    <row r="103" spans="1:38" ht="18" customHeight="1">
      <c r="A103" s="2"/>
      <c r="B103" s="2"/>
      <c r="C103" s="2"/>
      <c r="D103" s="2"/>
      <c r="E103" s="2"/>
      <c r="F103" s="2"/>
      <c r="G103" s="2"/>
      <c r="H103" s="283" t="s">
        <v>77</v>
      </c>
      <c r="I103" s="283"/>
      <c r="J103" s="283"/>
      <c r="K103" s="283"/>
      <c r="L103" s="283"/>
      <c r="M103" s="283" t="s">
        <v>78</v>
      </c>
      <c r="N103" s="283"/>
      <c r="O103" s="283"/>
      <c r="P103" s="279">
        <v>240000000</v>
      </c>
      <c r="Q103" s="279"/>
      <c r="R103" s="279">
        <v>0</v>
      </c>
      <c r="S103" s="279"/>
      <c r="T103" s="279"/>
      <c r="U103" s="279"/>
      <c r="V103" s="7">
        <v>0</v>
      </c>
      <c r="W103" s="279">
        <v>0</v>
      </c>
      <c r="X103" s="279"/>
      <c r="Y103" s="279">
        <v>0</v>
      </c>
      <c r="Z103" s="279"/>
      <c r="AA103" s="279"/>
      <c r="AB103" s="282">
        <v>0</v>
      </c>
      <c r="AC103" s="282"/>
      <c r="AD103" s="279">
        <v>240000000</v>
      </c>
      <c r="AE103" s="279"/>
      <c r="AF103" s="279"/>
      <c r="AG103" s="279"/>
      <c r="AH103" s="279"/>
    </row>
    <row r="104" spans="1:38" ht="14.45" customHeight="1">
      <c r="A104" s="2"/>
      <c r="B104" s="2"/>
      <c r="C104" s="2"/>
      <c r="D104" s="2"/>
      <c r="E104" s="2"/>
      <c r="F104" s="283" t="s">
        <v>80</v>
      </c>
      <c r="G104" s="283"/>
      <c r="H104" s="283"/>
      <c r="I104" s="283"/>
      <c r="J104" s="283"/>
      <c r="K104" s="283"/>
      <c r="L104" s="283" t="s">
        <v>128</v>
      </c>
      <c r="M104" s="283"/>
      <c r="N104" s="283"/>
      <c r="O104" s="283"/>
      <c r="P104" s="279">
        <v>213800000</v>
      </c>
      <c r="Q104" s="279"/>
      <c r="R104" s="279">
        <v>0</v>
      </c>
      <c r="S104" s="279"/>
      <c r="T104" s="279"/>
      <c r="U104" s="279"/>
      <c r="V104" s="7">
        <v>33675575</v>
      </c>
      <c r="W104" s="279">
        <v>0</v>
      </c>
      <c r="X104" s="279"/>
      <c r="Y104" s="279">
        <v>33675575</v>
      </c>
      <c r="Z104" s="279"/>
      <c r="AA104" s="279"/>
      <c r="AB104" s="282">
        <v>0.15750970533208605</v>
      </c>
      <c r="AC104" s="282"/>
      <c r="AD104" s="279">
        <v>180124425</v>
      </c>
      <c r="AE104" s="279"/>
      <c r="AF104" s="279"/>
      <c r="AG104" s="279"/>
      <c r="AH104" s="279"/>
      <c r="AI104" s="11"/>
      <c r="AJ104" s="11"/>
      <c r="AL104" s="12"/>
    </row>
    <row r="105" spans="1:38" ht="14.45" customHeight="1">
      <c r="A105" s="2"/>
      <c r="B105" s="2"/>
      <c r="C105" s="2"/>
      <c r="D105" s="2"/>
      <c r="E105" s="2"/>
      <c r="F105" s="2"/>
      <c r="G105" s="2"/>
      <c r="H105" s="283" t="s">
        <v>82</v>
      </c>
      <c r="I105" s="283"/>
      <c r="J105" s="283"/>
      <c r="K105" s="283"/>
      <c r="L105" s="283"/>
      <c r="M105" s="283" t="s">
        <v>83</v>
      </c>
      <c r="N105" s="283"/>
      <c r="O105" s="283"/>
      <c r="P105" s="279">
        <v>8540000</v>
      </c>
      <c r="Q105" s="279"/>
      <c r="R105" s="279">
        <v>0</v>
      </c>
      <c r="S105" s="279"/>
      <c r="T105" s="279"/>
      <c r="U105" s="279"/>
      <c r="V105" s="7">
        <v>7049575</v>
      </c>
      <c r="W105" s="279">
        <v>0</v>
      </c>
      <c r="X105" s="279"/>
      <c r="Y105" s="279">
        <v>7049575</v>
      </c>
      <c r="Z105" s="279"/>
      <c r="AA105" s="279"/>
      <c r="AB105" s="282">
        <v>0.8254771662763466</v>
      </c>
      <c r="AC105" s="282"/>
      <c r="AD105" s="279">
        <v>1490425</v>
      </c>
      <c r="AE105" s="279"/>
      <c r="AF105" s="279"/>
      <c r="AG105" s="279"/>
      <c r="AH105" s="279"/>
    </row>
    <row r="106" spans="1:38" ht="14.45" customHeight="1">
      <c r="A106" s="2"/>
      <c r="B106" s="2"/>
      <c r="C106" s="2"/>
      <c r="D106" s="2"/>
      <c r="E106" s="2"/>
      <c r="F106" s="2"/>
      <c r="G106" s="2"/>
      <c r="H106" s="283" t="s">
        <v>84</v>
      </c>
      <c r="I106" s="283"/>
      <c r="J106" s="283"/>
      <c r="K106" s="283"/>
      <c r="L106" s="283"/>
      <c r="M106" s="283" t="s">
        <v>85</v>
      </c>
      <c r="N106" s="283"/>
      <c r="O106" s="283"/>
      <c r="P106" s="279">
        <v>28000000</v>
      </c>
      <c r="Q106" s="279"/>
      <c r="R106" s="279">
        <v>0</v>
      </c>
      <c r="S106" s="279"/>
      <c r="T106" s="279"/>
      <c r="U106" s="279"/>
      <c r="V106" s="7">
        <v>4850000</v>
      </c>
      <c r="W106" s="279">
        <v>0</v>
      </c>
      <c r="X106" s="279"/>
      <c r="Y106" s="279">
        <v>4850000</v>
      </c>
      <c r="Z106" s="279"/>
      <c r="AA106" s="279"/>
      <c r="AB106" s="282">
        <v>0.17321428571428571</v>
      </c>
      <c r="AC106" s="282"/>
      <c r="AD106" s="279">
        <v>23150000</v>
      </c>
      <c r="AE106" s="279"/>
      <c r="AF106" s="279"/>
      <c r="AG106" s="279"/>
      <c r="AH106" s="279"/>
    </row>
    <row r="107" spans="1:38" ht="14.45" customHeight="1">
      <c r="A107" s="2"/>
      <c r="B107" s="2"/>
      <c r="C107" s="2"/>
      <c r="D107" s="2"/>
      <c r="E107" s="2"/>
      <c r="F107" s="2"/>
      <c r="G107" s="2"/>
      <c r="H107" s="283" t="s">
        <v>65</v>
      </c>
      <c r="I107" s="283"/>
      <c r="J107" s="283"/>
      <c r="K107" s="283"/>
      <c r="L107" s="283"/>
      <c r="M107" s="283" t="s">
        <v>66</v>
      </c>
      <c r="N107" s="283"/>
      <c r="O107" s="283"/>
      <c r="P107" s="279">
        <v>137760000</v>
      </c>
      <c r="Q107" s="279"/>
      <c r="R107" s="279">
        <v>0</v>
      </c>
      <c r="S107" s="279"/>
      <c r="T107" s="279"/>
      <c r="U107" s="279"/>
      <c r="V107" s="7">
        <v>17746000</v>
      </c>
      <c r="W107" s="279">
        <v>0</v>
      </c>
      <c r="X107" s="279"/>
      <c r="Y107" s="279">
        <v>17746000</v>
      </c>
      <c r="Z107" s="279"/>
      <c r="AA107" s="279"/>
      <c r="AB107" s="282">
        <v>0.12881823461091754</v>
      </c>
      <c r="AC107" s="282"/>
      <c r="AD107" s="279">
        <v>120014000</v>
      </c>
      <c r="AE107" s="279"/>
      <c r="AF107" s="279"/>
      <c r="AG107" s="279"/>
      <c r="AH107" s="279"/>
    </row>
    <row r="108" spans="1:38" ht="14.45" customHeight="1">
      <c r="A108" s="2"/>
      <c r="B108" s="2"/>
      <c r="C108" s="2"/>
      <c r="D108" s="2"/>
      <c r="E108" s="2"/>
      <c r="F108" s="2"/>
      <c r="G108" s="2"/>
      <c r="H108" s="283" t="s">
        <v>67</v>
      </c>
      <c r="I108" s="283"/>
      <c r="J108" s="283"/>
      <c r="K108" s="283"/>
      <c r="L108" s="283"/>
      <c r="M108" s="283" t="s">
        <v>68</v>
      </c>
      <c r="N108" s="283"/>
      <c r="O108" s="283"/>
      <c r="P108" s="279">
        <v>39500000</v>
      </c>
      <c r="Q108" s="279"/>
      <c r="R108" s="279">
        <v>0</v>
      </c>
      <c r="S108" s="279"/>
      <c r="T108" s="279"/>
      <c r="U108" s="279"/>
      <c r="V108" s="7">
        <v>4030000</v>
      </c>
      <c r="W108" s="279">
        <v>0</v>
      </c>
      <c r="X108" s="279"/>
      <c r="Y108" s="279">
        <v>4030000</v>
      </c>
      <c r="Z108" s="279"/>
      <c r="AA108" s="279"/>
      <c r="AB108" s="282">
        <v>0.10202531645569621</v>
      </c>
      <c r="AC108" s="282"/>
      <c r="AD108" s="279">
        <v>35470000</v>
      </c>
      <c r="AE108" s="279"/>
      <c r="AF108" s="279"/>
      <c r="AG108" s="279"/>
      <c r="AH108" s="279"/>
    </row>
    <row r="109" spans="1:38" ht="14.45" customHeight="1">
      <c r="A109" s="2"/>
      <c r="B109" s="2"/>
      <c r="C109" s="2"/>
      <c r="D109" s="2"/>
      <c r="E109" s="286" t="s">
        <v>86</v>
      </c>
      <c r="F109" s="286"/>
      <c r="G109" s="286"/>
      <c r="H109" s="286"/>
      <c r="I109" s="286"/>
      <c r="J109" s="286" t="s">
        <v>87</v>
      </c>
      <c r="K109" s="286"/>
      <c r="L109" s="286"/>
      <c r="M109" s="286"/>
      <c r="N109" s="286"/>
      <c r="O109" s="286"/>
      <c r="P109" s="284">
        <v>186000000</v>
      </c>
      <c r="Q109" s="284"/>
      <c r="R109" s="284">
        <v>0</v>
      </c>
      <c r="S109" s="284"/>
      <c r="T109" s="284"/>
      <c r="U109" s="284"/>
      <c r="V109" s="10">
        <v>0</v>
      </c>
      <c r="W109" s="284">
        <v>0</v>
      </c>
      <c r="X109" s="284"/>
      <c r="Y109" s="284">
        <v>0</v>
      </c>
      <c r="Z109" s="284"/>
      <c r="AA109" s="284"/>
      <c r="AB109" s="290">
        <v>0</v>
      </c>
      <c r="AC109" s="290"/>
      <c r="AD109" s="284">
        <v>186000000</v>
      </c>
      <c r="AE109" s="284"/>
      <c r="AF109" s="284"/>
      <c r="AG109" s="284"/>
      <c r="AH109" s="284"/>
    </row>
    <row r="110" spans="1:38" ht="14.45" customHeight="1">
      <c r="A110" s="2"/>
      <c r="B110" s="2"/>
      <c r="C110" s="2"/>
      <c r="D110" s="2"/>
      <c r="E110" s="2"/>
      <c r="F110" s="283" t="s">
        <v>129</v>
      </c>
      <c r="G110" s="283"/>
      <c r="H110" s="283"/>
      <c r="I110" s="283"/>
      <c r="J110" s="283"/>
      <c r="K110" s="283"/>
      <c r="L110" s="283" t="s">
        <v>130</v>
      </c>
      <c r="M110" s="283"/>
      <c r="N110" s="283"/>
      <c r="O110" s="283"/>
      <c r="P110" s="279">
        <v>186000000</v>
      </c>
      <c r="Q110" s="279"/>
      <c r="R110" s="279">
        <v>0</v>
      </c>
      <c r="S110" s="279"/>
      <c r="T110" s="279"/>
      <c r="U110" s="279"/>
      <c r="V110" s="7">
        <v>0</v>
      </c>
      <c r="W110" s="279">
        <v>0</v>
      </c>
      <c r="X110" s="279"/>
      <c r="Y110" s="279">
        <v>0</v>
      </c>
      <c r="Z110" s="279"/>
      <c r="AA110" s="279"/>
      <c r="AB110" s="282">
        <v>0</v>
      </c>
      <c r="AC110" s="282"/>
      <c r="AD110" s="279">
        <v>186000000</v>
      </c>
      <c r="AE110" s="279"/>
      <c r="AF110" s="279"/>
      <c r="AG110" s="279"/>
      <c r="AH110" s="279"/>
      <c r="AI110" s="11"/>
      <c r="AJ110" s="11"/>
      <c r="AL110" s="12"/>
    </row>
    <row r="111" spans="1:38" ht="14.45" customHeight="1">
      <c r="A111" s="2"/>
      <c r="B111" s="2"/>
      <c r="C111" s="2"/>
      <c r="D111" s="2"/>
      <c r="E111" s="2"/>
      <c r="F111" s="2"/>
      <c r="G111" s="2"/>
      <c r="H111" s="283" t="s">
        <v>65</v>
      </c>
      <c r="I111" s="283"/>
      <c r="J111" s="283"/>
      <c r="K111" s="283"/>
      <c r="L111" s="283"/>
      <c r="M111" s="283" t="s">
        <v>66</v>
      </c>
      <c r="N111" s="283"/>
      <c r="O111" s="283"/>
      <c r="P111" s="279">
        <v>98400000</v>
      </c>
      <c r="Q111" s="279"/>
      <c r="R111" s="279">
        <v>0</v>
      </c>
      <c r="S111" s="279"/>
      <c r="T111" s="279"/>
      <c r="U111" s="279"/>
      <c r="V111" s="7">
        <v>0</v>
      </c>
      <c r="W111" s="279">
        <v>0</v>
      </c>
      <c r="X111" s="279"/>
      <c r="Y111" s="279">
        <v>0</v>
      </c>
      <c r="Z111" s="279"/>
      <c r="AA111" s="279"/>
      <c r="AB111" s="282">
        <v>0</v>
      </c>
      <c r="AC111" s="282"/>
      <c r="AD111" s="279">
        <v>98400000</v>
      </c>
      <c r="AE111" s="279"/>
      <c r="AF111" s="279"/>
      <c r="AG111" s="279"/>
      <c r="AH111" s="279"/>
    </row>
    <row r="112" spans="1:38" ht="24" customHeight="1">
      <c r="A112" s="2"/>
      <c r="B112" s="294" t="s">
        <v>92</v>
      </c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  <c r="AC112" s="294"/>
      <c r="AD112" s="294"/>
      <c r="AE112" s="294"/>
      <c r="AF112" s="2"/>
      <c r="AG112" s="2"/>
      <c r="AH112" s="2"/>
    </row>
    <row r="113" spans="1:38" ht="14.45" customHeight="1">
      <c r="A113" s="2"/>
      <c r="B113" s="2"/>
      <c r="C113" s="2"/>
      <c r="D113" s="2"/>
      <c r="E113" s="2"/>
      <c r="F113" s="2"/>
      <c r="G113" s="2"/>
      <c r="H113" s="283" t="s">
        <v>67</v>
      </c>
      <c r="I113" s="283"/>
      <c r="J113" s="283"/>
      <c r="K113" s="283"/>
      <c r="L113" s="283"/>
      <c r="M113" s="283" t="s">
        <v>68</v>
      </c>
      <c r="N113" s="283"/>
      <c r="O113" s="283"/>
      <c r="P113" s="279">
        <v>87600000</v>
      </c>
      <c r="Q113" s="279"/>
      <c r="R113" s="279">
        <v>0</v>
      </c>
      <c r="S113" s="279"/>
      <c r="T113" s="279"/>
      <c r="U113" s="279"/>
      <c r="V113" s="7">
        <v>0</v>
      </c>
      <c r="W113" s="279">
        <v>0</v>
      </c>
      <c r="X113" s="279"/>
      <c r="Y113" s="279">
        <v>0</v>
      </c>
      <c r="Z113" s="279"/>
      <c r="AA113" s="279"/>
      <c r="AB113" s="282">
        <v>0</v>
      </c>
      <c r="AC113" s="282"/>
      <c r="AD113" s="279">
        <v>87600000</v>
      </c>
      <c r="AE113" s="279"/>
      <c r="AF113" s="279"/>
      <c r="AG113" s="279"/>
      <c r="AH113" s="279"/>
    </row>
    <row r="114" spans="1:38" ht="18" customHeight="1">
      <c r="A114" s="2"/>
      <c r="B114" s="283" t="s">
        <v>137</v>
      </c>
      <c r="C114" s="283"/>
      <c r="D114" s="283"/>
      <c r="E114" s="283"/>
      <c r="F114" s="283"/>
      <c r="G114" s="283"/>
      <c r="H114" s="283"/>
      <c r="I114" s="283" t="s">
        <v>138</v>
      </c>
      <c r="J114" s="283"/>
      <c r="K114" s="283"/>
      <c r="L114" s="283"/>
      <c r="M114" s="283"/>
      <c r="N114" s="283"/>
      <c r="O114" s="283"/>
      <c r="P114" s="279">
        <v>1863000000</v>
      </c>
      <c r="Q114" s="279"/>
      <c r="R114" s="279">
        <v>0</v>
      </c>
      <c r="S114" s="279"/>
      <c r="T114" s="279"/>
      <c r="U114" s="279"/>
      <c r="V114" s="7">
        <v>420302775</v>
      </c>
      <c r="W114" s="279">
        <v>0</v>
      </c>
      <c r="X114" s="279"/>
      <c r="Y114" s="279">
        <v>420302775</v>
      </c>
      <c r="Z114" s="279"/>
      <c r="AA114" s="279"/>
      <c r="AB114" s="282">
        <v>0.22560535426731079</v>
      </c>
      <c r="AC114" s="282"/>
      <c r="AD114" s="279">
        <v>1442697225</v>
      </c>
      <c r="AE114" s="279"/>
      <c r="AF114" s="279"/>
      <c r="AG114" s="279"/>
      <c r="AH114" s="279"/>
    </row>
    <row r="115" spans="1:38" ht="14.45" customHeight="1">
      <c r="A115" s="2"/>
      <c r="B115" s="2"/>
      <c r="C115" s="295" t="s">
        <v>57</v>
      </c>
      <c r="D115" s="295"/>
      <c r="E115" s="295"/>
      <c r="F115" s="295"/>
      <c r="G115" s="295" t="s">
        <v>58</v>
      </c>
      <c r="H115" s="295"/>
      <c r="I115" s="295"/>
      <c r="J115" s="295"/>
      <c r="K115" s="295"/>
      <c r="L115" s="295"/>
      <c r="M115" s="295"/>
      <c r="N115" s="295"/>
      <c r="O115" s="295"/>
      <c r="P115" s="280">
        <v>1863000000</v>
      </c>
      <c r="Q115" s="280"/>
      <c r="R115" s="280">
        <v>0</v>
      </c>
      <c r="S115" s="280"/>
      <c r="T115" s="280"/>
      <c r="U115" s="280"/>
      <c r="V115" s="8">
        <v>420302775</v>
      </c>
      <c r="W115" s="280">
        <v>0</v>
      </c>
      <c r="X115" s="280"/>
      <c r="Y115" s="280">
        <v>420302775</v>
      </c>
      <c r="Z115" s="280"/>
      <c r="AA115" s="280"/>
      <c r="AB115" s="298">
        <v>0.22560535426731079</v>
      </c>
      <c r="AC115" s="298"/>
      <c r="AD115" s="280">
        <v>1442697225</v>
      </c>
      <c r="AE115" s="280"/>
      <c r="AF115" s="280"/>
      <c r="AG115" s="280"/>
      <c r="AH115" s="280"/>
    </row>
    <row r="116" spans="1:38" ht="18" customHeight="1">
      <c r="A116" s="2"/>
      <c r="B116" s="2"/>
      <c r="C116" s="288" t="s">
        <v>59</v>
      </c>
      <c r="D116" s="288"/>
      <c r="E116" s="288"/>
      <c r="F116" s="288"/>
      <c r="G116" s="288"/>
      <c r="H116" s="288"/>
      <c r="I116" s="288"/>
      <c r="J116" s="288"/>
      <c r="K116" s="297" t="s">
        <v>139</v>
      </c>
      <c r="L116" s="297"/>
      <c r="M116" s="297"/>
      <c r="N116" s="297"/>
      <c r="O116" s="297"/>
      <c r="P116" s="281">
        <v>1143000000</v>
      </c>
      <c r="Q116" s="281"/>
      <c r="R116" s="281">
        <v>0</v>
      </c>
      <c r="S116" s="281"/>
      <c r="T116" s="281"/>
      <c r="U116" s="281"/>
      <c r="V116" s="9">
        <v>265134525</v>
      </c>
      <c r="W116" s="299">
        <v>0</v>
      </c>
      <c r="X116" s="299"/>
      <c r="Y116" s="281">
        <v>265134525</v>
      </c>
      <c r="Z116" s="281"/>
      <c r="AA116" s="281"/>
      <c r="AB116" s="291">
        <v>0.23196371391076115</v>
      </c>
      <c r="AC116" s="291"/>
      <c r="AD116" s="281">
        <v>877865475</v>
      </c>
      <c r="AE116" s="281"/>
      <c r="AF116" s="281"/>
      <c r="AG116" s="281"/>
      <c r="AH116" s="281"/>
    </row>
    <row r="117" spans="1:38" ht="14.45" customHeight="1">
      <c r="A117" s="2"/>
      <c r="B117" s="2"/>
      <c r="C117" s="2"/>
      <c r="D117" s="2"/>
      <c r="E117" s="286" t="s">
        <v>61</v>
      </c>
      <c r="F117" s="286"/>
      <c r="G117" s="286"/>
      <c r="H117" s="286"/>
      <c r="I117" s="286"/>
      <c r="J117" s="286" t="s">
        <v>140</v>
      </c>
      <c r="K117" s="286"/>
      <c r="L117" s="286"/>
      <c r="M117" s="286"/>
      <c r="N117" s="286"/>
      <c r="O117" s="286"/>
      <c r="P117" s="284">
        <v>48120000</v>
      </c>
      <c r="Q117" s="284"/>
      <c r="R117" s="284">
        <v>0</v>
      </c>
      <c r="S117" s="284"/>
      <c r="T117" s="284"/>
      <c r="U117" s="284"/>
      <c r="V117" s="10">
        <v>3560000</v>
      </c>
      <c r="W117" s="284">
        <v>0</v>
      </c>
      <c r="X117" s="284"/>
      <c r="Y117" s="284">
        <v>3560000</v>
      </c>
      <c r="Z117" s="284"/>
      <c r="AA117" s="284"/>
      <c r="AB117" s="290">
        <v>7.3981712385702406E-2</v>
      </c>
      <c r="AC117" s="290"/>
      <c r="AD117" s="284">
        <v>44560000</v>
      </c>
      <c r="AE117" s="284"/>
      <c r="AF117" s="284"/>
      <c r="AG117" s="284"/>
      <c r="AH117" s="284"/>
    </row>
    <row r="118" spans="1:38" ht="14.45" customHeight="1">
      <c r="A118" s="2"/>
      <c r="B118" s="2"/>
      <c r="C118" s="2"/>
      <c r="D118" s="2"/>
      <c r="E118" s="2"/>
      <c r="F118" s="283" t="s">
        <v>63</v>
      </c>
      <c r="G118" s="283"/>
      <c r="H118" s="283"/>
      <c r="I118" s="283"/>
      <c r="J118" s="283"/>
      <c r="K118" s="283"/>
      <c r="L118" s="283" t="s">
        <v>141</v>
      </c>
      <c r="M118" s="283"/>
      <c r="N118" s="283"/>
      <c r="O118" s="283"/>
      <c r="P118" s="279">
        <v>48120000</v>
      </c>
      <c r="Q118" s="279"/>
      <c r="R118" s="279">
        <v>0</v>
      </c>
      <c r="S118" s="279"/>
      <c r="T118" s="279"/>
      <c r="U118" s="279"/>
      <c r="V118" s="7">
        <v>3560000</v>
      </c>
      <c r="W118" s="279">
        <v>0</v>
      </c>
      <c r="X118" s="279"/>
      <c r="Y118" s="279">
        <v>3560000</v>
      </c>
      <c r="Z118" s="279"/>
      <c r="AA118" s="279"/>
      <c r="AB118" s="282">
        <v>7.3981712385702406E-2</v>
      </c>
      <c r="AC118" s="282"/>
      <c r="AD118" s="279">
        <v>44560000</v>
      </c>
      <c r="AE118" s="279"/>
      <c r="AF118" s="279"/>
      <c r="AG118" s="279"/>
      <c r="AH118" s="279"/>
      <c r="AI118" s="11"/>
      <c r="AJ118" s="11"/>
      <c r="AL118" s="12"/>
    </row>
    <row r="119" spans="1:38" ht="14.45" customHeight="1">
      <c r="A119" s="2"/>
      <c r="B119" s="2"/>
      <c r="C119" s="2"/>
      <c r="D119" s="2"/>
      <c r="E119" s="2"/>
      <c r="F119" s="2"/>
      <c r="G119" s="2"/>
      <c r="H119" s="283" t="s">
        <v>65</v>
      </c>
      <c r="I119" s="283"/>
      <c r="J119" s="283"/>
      <c r="K119" s="283"/>
      <c r="L119" s="283"/>
      <c r="M119" s="283" t="s">
        <v>66</v>
      </c>
      <c r="N119" s="283"/>
      <c r="O119" s="283"/>
      <c r="P119" s="279">
        <v>29520000</v>
      </c>
      <c r="Q119" s="279"/>
      <c r="R119" s="279">
        <v>0</v>
      </c>
      <c r="S119" s="279"/>
      <c r="T119" s="279"/>
      <c r="U119" s="279"/>
      <c r="V119" s="7">
        <v>360000</v>
      </c>
      <c r="W119" s="279">
        <v>0</v>
      </c>
      <c r="X119" s="279"/>
      <c r="Y119" s="279">
        <v>360000</v>
      </c>
      <c r="Z119" s="279"/>
      <c r="AA119" s="279"/>
      <c r="AB119" s="282">
        <v>1.2195121951219513E-2</v>
      </c>
      <c r="AC119" s="282"/>
      <c r="AD119" s="279">
        <v>29160000</v>
      </c>
      <c r="AE119" s="279"/>
      <c r="AF119" s="279"/>
      <c r="AG119" s="279"/>
      <c r="AH119" s="279"/>
    </row>
    <row r="120" spans="1:38" ht="14.45" customHeight="1">
      <c r="A120" s="2"/>
      <c r="B120" s="2"/>
      <c r="C120" s="2"/>
      <c r="D120" s="2"/>
      <c r="E120" s="2"/>
      <c r="F120" s="2"/>
      <c r="G120" s="2"/>
      <c r="H120" s="283" t="s">
        <v>67</v>
      </c>
      <c r="I120" s="283"/>
      <c r="J120" s="283"/>
      <c r="K120" s="283"/>
      <c r="L120" s="283"/>
      <c r="M120" s="283" t="s">
        <v>68</v>
      </c>
      <c r="N120" s="283"/>
      <c r="O120" s="283"/>
      <c r="P120" s="279">
        <v>18600000</v>
      </c>
      <c r="Q120" s="279"/>
      <c r="R120" s="279">
        <v>0</v>
      </c>
      <c r="S120" s="279"/>
      <c r="T120" s="279"/>
      <c r="U120" s="279"/>
      <c r="V120" s="7">
        <v>3200000</v>
      </c>
      <c r="W120" s="279">
        <v>0</v>
      </c>
      <c r="X120" s="279"/>
      <c r="Y120" s="279">
        <v>3200000</v>
      </c>
      <c r="Z120" s="279"/>
      <c r="AA120" s="279"/>
      <c r="AB120" s="282">
        <v>0.17204301075268819</v>
      </c>
      <c r="AC120" s="282"/>
      <c r="AD120" s="279">
        <v>15400000</v>
      </c>
      <c r="AE120" s="279"/>
      <c r="AF120" s="279"/>
      <c r="AG120" s="279"/>
      <c r="AH120" s="279"/>
    </row>
    <row r="121" spans="1:38" ht="14.45" customHeight="1">
      <c r="A121" s="2"/>
      <c r="B121" s="2"/>
      <c r="C121" s="2"/>
      <c r="D121" s="2"/>
      <c r="E121" s="286" t="s">
        <v>69</v>
      </c>
      <c r="F121" s="286"/>
      <c r="G121" s="286"/>
      <c r="H121" s="286"/>
      <c r="I121" s="286"/>
      <c r="J121" s="286" t="s">
        <v>70</v>
      </c>
      <c r="K121" s="286"/>
      <c r="L121" s="286"/>
      <c r="M121" s="286"/>
      <c r="N121" s="286"/>
      <c r="O121" s="286"/>
      <c r="P121" s="284">
        <v>972290000</v>
      </c>
      <c r="Q121" s="284"/>
      <c r="R121" s="284">
        <v>0</v>
      </c>
      <c r="S121" s="284"/>
      <c r="T121" s="284"/>
      <c r="U121" s="284"/>
      <c r="V121" s="10">
        <v>261574525</v>
      </c>
      <c r="W121" s="284">
        <v>0</v>
      </c>
      <c r="X121" s="284"/>
      <c r="Y121" s="284">
        <v>261574525</v>
      </c>
      <c r="Z121" s="284"/>
      <c r="AA121" s="284"/>
      <c r="AB121" s="290">
        <v>0.26902932766972815</v>
      </c>
      <c r="AC121" s="290"/>
      <c r="AD121" s="284">
        <v>710715475</v>
      </c>
      <c r="AE121" s="284"/>
      <c r="AF121" s="284"/>
      <c r="AG121" s="284"/>
      <c r="AH121" s="284"/>
    </row>
    <row r="122" spans="1:38" ht="14.45" customHeight="1">
      <c r="A122" s="2"/>
      <c r="B122" s="2"/>
      <c r="C122" s="2"/>
      <c r="D122" s="2"/>
      <c r="E122" s="2"/>
      <c r="F122" s="283" t="s">
        <v>71</v>
      </c>
      <c r="G122" s="283"/>
      <c r="H122" s="283"/>
      <c r="I122" s="283"/>
      <c r="J122" s="283"/>
      <c r="K122" s="283"/>
      <c r="L122" s="283" t="s">
        <v>142</v>
      </c>
      <c r="M122" s="283"/>
      <c r="N122" s="283"/>
      <c r="O122" s="283"/>
      <c r="P122" s="279">
        <v>840000000</v>
      </c>
      <c r="Q122" s="279"/>
      <c r="R122" s="279">
        <v>0</v>
      </c>
      <c r="S122" s="279"/>
      <c r="T122" s="279"/>
      <c r="U122" s="279"/>
      <c r="V122" s="7">
        <v>238924400</v>
      </c>
      <c r="W122" s="279">
        <v>0</v>
      </c>
      <c r="X122" s="279"/>
      <c r="Y122" s="279">
        <v>238924400</v>
      </c>
      <c r="Z122" s="279"/>
      <c r="AA122" s="279"/>
      <c r="AB122" s="282">
        <v>0.28443380952380953</v>
      </c>
      <c r="AC122" s="282"/>
      <c r="AD122" s="279">
        <v>601075600</v>
      </c>
      <c r="AE122" s="279"/>
      <c r="AF122" s="279"/>
      <c r="AG122" s="279"/>
      <c r="AH122" s="279"/>
      <c r="AI122" s="11"/>
      <c r="AJ122" s="11"/>
      <c r="AL122" s="12"/>
    </row>
    <row r="123" spans="1:38" ht="18" customHeight="1">
      <c r="A123" s="2"/>
      <c r="B123" s="2"/>
      <c r="C123" s="2"/>
      <c r="D123" s="2"/>
      <c r="E123" s="2"/>
      <c r="F123" s="2"/>
      <c r="G123" s="2"/>
      <c r="H123" s="283" t="s">
        <v>75</v>
      </c>
      <c r="I123" s="283"/>
      <c r="J123" s="283"/>
      <c r="K123" s="283"/>
      <c r="L123" s="283"/>
      <c r="M123" s="283" t="s">
        <v>76</v>
      </c>
      <c r="N123" s="283"/>
      <c r="O123" s="283"/>
      <c r="P123" s="279">
        <v>840000000</v>
      </c>
      <c r="Q123" s="279"/>
      <c r="R123" s="279">
        <v>0</v>
      </c>
      <c r="S123" s="279"/>
      <c r="T123" s="279"/>
      <c r="U123" s="279"/>
      <c r="V123" s="7">
        <v>238924400</v>
      </c>
      <c r="W123" s="279">
        <v>0</v>
      </c>
      <c r="X123" s="279"/>
      <c r="Y123" s="279">
        <v>238924400</v>
      </c>
      <c r="Z123" s="279"/>
      <c r="AA123" s="279"/>
      <c r="AB123" s="282">
        <v>0.28443380952380953</v>
      </c>
      <c r="AC123" s="282"/>
      <c r="AD123" s="279">
        <v>601075600</v>
      </c>
      <c r="AE123" s="279"/>
      <c r="AF123" s="279"/>
      <c r="AG123" s="279"/>
      <c r="AH123" s="279"/>
    </row>
    <row r="124" spans="1:38" ht="14.45" customHeight="1">
      <c r="A124" s="2"/>
      <c r="B124" s="2"/>
      <c r="C124" s="2"/>
      <c r="D124" s="2"/>
      <c r="E124" s="2"/>
      <c r="F124" s="283" t="s">
        <v>80</v>
      </c>
      <c r="G124" s="283"/>
      <c r="H124" s="283"/>
      <c r="I124" s="283"/>
      <c r="J124" s="283"/>
      <c r="K124" s="283"/>
      <c r="L124" s="283" t="s">
        <v>81</v>
      </c>
      <c r="M124" s="283"/>
      <c r="N124" s="283"/>
      <c r="O124" s="283"/>
      <c r="P124" s="279">
        <v>132290000</v>
      </c>
      <c r="Q124" s="279"/>
      <c r="R124" s="279">
        <v>0</v>
      </c>
      <c r="S124" s="279"/>
      <c r="T124" s="279"/>
      <c r="U124" s="279"/>
      <c r="V124" s="7">
        <v>22650125</v>
      </c>
      <c r="W124" s="279">
        <v>0</v>
      </c>
      <c r="X124" s="279"/>
      <c r="Y124" s="279">
        <v>22650125</v>
      </c>
      <c r="Z124" s="279"/>
      <c r="AA124" s="279"/>
      <c r="AB124" s="282">
        <v>0.17121570035528005</v>
      </c>
      <c r="AC124" s="282"/>
      <c r="AD124" s="279">
        <v>109639875</v>
      </c>
      <c r="AE124" s="279"/>
      <c r="AF124" s="279"/>
      <c r="AG124" s="279"/>
      <c r="AH124" s="279"/>
    </row>
    <row r="125" spans="1:38" ht="14.45" customHeight="1">
      <c r="A125" s="2"/>
      <c r="B125" s="2"/>
      <c r="C125" s="2"/>
      <c r="D125" s="2"/>
      <c r="E125" s="2"/>
      <c r="F125" s="2"/>
      <c r="G125" s="2"/>
      <c r="H125" s="283" t="s">
        <v>82</v>
      </c>
      <c r="I125" s="283"/>
      <c r="J125" s="283"/>
      <c r="K125" s="283"/>
      <c r="L125" s="283"/>
      <c r="M125" s="283" t="s">
        <v>83</v>
      </c>
      <c r="N125" s="283"/>
      <c r="O125" s="283"/>
      <c r="P125" s="279">
        <v>7920000</v>
      </c>
      <c r="Q125" s="279"/>
      <c r="R125" s="279">
        <v>0</v>
      </c>
      <c r="S125" s="279"/>
      <c r="T125" s="279"/>
      <c r="U125" s="279"/>
      <c r="V125" s="7">
        <v>7326125</v>
      </c>
      <c r="W125" s="279">
        <v>0</v>
      </c>
      <c r="X125" s="279"/>
      <c r="Y125" s="279">
        <v>7326125</v>
      </c>
      <c r="Z125" s="279"/>
      <c r="AA125" s="279"/>
      <c r="AB125" s="282">
        <v>0.92501578282828278</v>
      </c>
      <c r="AC125" s="282"/>
      <c r="AD125" s="279">
        <v>593875</v>
      </c>
      <c r="AE125" s="279"/>
      <c r="AF125" s="279"/>
      <c r="AG125" s="279"/>
      <c r="AH125" s="279"/>
    </row>
    <row r="126" spans="1:38" ht="14.45" customHeight="1">
      <c r="A126" s="2"/>
      <c r="B126" s="2"/>
      <c r="C126" s="2"/>
      <c r="D126" s="2"/>
      <c r="E126" s="2"/>
      <c r="F126" s="2"/>
      <c r="G126" s="2"/>
      <c r="H126" s="283" t="s">
        <v>84</v>
      </c>
      <c r="I126" s="283"/>
      <c r="J126" s="283"/>
      <c r="K126" s="283"/>
      <c r="L126" s="283"/>
      <c r="M126" s="283" t="s">
        <v>85</v>
      </c>
      <c r="N126" s="283"/>
      <c r="O126" s="283"/>
      <c r="P126" s="279">
        <v>20000000</v>
      </c>
      <c r="Q126" s="279"/>
      <c r="R126" s="279">
        <v>0</v>
      </c>
      <c r="S126" s="279"/>
      <c r="T126" s="279"/>
      <c r="U126" s="279"/>
      <c r="V126" s="7">
        <v>350000</v>
      </c>
      <c r="W126" s="279">
        <v>0</v>
      </c>
      <c r="X126" s="279"/>
      <c r="Y126" s="279">
        <v>350000</v>
      </c>
      <c r="Z126" s="279"/>
      <c r="AA126" s="279"/>
      <c r="AB126" s="282">
        <v>1.7500000000000002E-2</v>
      </c>
      <c r="AC126" s="282"/>
      <c r="AD126" s="279">
        <v>19650000</v>
      </c>
      <c r="AE126" s="279"/>
      <c r="AF126" s="279"/>
      <c r="AG126" s="279"/>
      <c r="AH126" s="279"/>
    </row>
    <row r="127" spans="1:38" ht="14.45" customHeight="1">
      <c r="A127" s="2"/>
      <c r="B127" s="2"/>
      <c r="C127" s="2"/>
      <c r="D127" s="2"/>
      <c r="E127" s="2"/>
      <c r="F127" s="2"/>
      <c r="G127" s="2"/>
      <c r="H127" s="283" t="s">
        <v>65</v>
      </c>
      <c r="I127" s="283"/>
      <c r="J127" s="283"/>
      <c r="K127" s="283"/>
      <c r="L127" s="283"/>
      <c r="M127" s="283" t="s">
        <v>66</v>
      </c>
      <c r="N127" s="283"/>
      <c r="O127" s="283"/>
      <c r="P127" s="279">
        <v>78720000</v>
      </c>
      <c r="Q127" s="279"/>
      <c r="R127" s="279">
        <v>0</v>
      </c>
      <c r="S127" s="279"/>
      <c r="T127" s="279"/>
      <c r="U127" s="279"/>
      <c r="V127" s="7">
        <v>5834000</v>
      </c>
      <c r="W127" s="279">
        <v>0</v>
      </c>
      <c r="X127" s="279"/>
      <c r="Y127" s="279">
        <v>5834000</v>
      </c>
      <c r="Z127" s="279"/>
      <c r="AA127" s="279"/>
      <c r="AB127" s="282">
        <v>7.4110772357723578E-2</v>
      </c>
      <c r="AC127" s="282"/>
      <c r="AD127" s="279">
        <v>72886000</v>
      </c>
      <c r="AE127" s="279"/>
      <c r="AF127" s="279"/>
      <c r="AG127" s="279"/>
      <c r="AH127" s="279"/>
    </row>
    <row r="128" spans="1:38" ht="14.45" customHeight="1">
      <c r="A128" s="2"/>
      <c r="B128" s="2"/>
      <c r="C128" s="2"/>
      <c r="D128" s="2"/>
      <c r="E128" s="2"/>
      <c r="F128" s="2"/>
      <c r="G128" s="2"/>
      <c r="H128" s="283" t="s">
        <v>67</v>
      </c>
      <c r="I128" s="283"/>
      <c r="J128" s="283"/>
      <c r="K128" s="283"/>
      <c r="L128" s="283"/>
      <c r="M128" s="283" t="s">
        <v>68</v>
      </c>
      <c r="N128" s="283"/>
      <c r="O128" s="283"/>
      <c r="P128" s="279">
        <v>25650000</v>
      </c>
      <c r="Q128" s="279"/>
      <c r="R128" s="279">
        <v>0</v>
      </c>
      <c r="S128" s="279"/>
      <c r="T128" s="279"/>
      <c r="U128" s="279"/>
      <c r="V128" s="7">
        <v>9140000</v>
      </c>
      <c r="W128" s="279">
        <v>0</v>
      </c>
      <c r="X128" s="279"/>
      <c r="Y128" s="279">
        <v>9140000</v>
      </c>
      <c r="Z128" s="279"/>
      <c r="AA128" s="279"/>
      <c r="AB128" s="282">
        <v>0.35633528265107212</v>
      </c>
      <c r="AC128" s="282"/>
      <c r="AD128" s="279">
        <v>16510000</v>
      </c>
      <c r="AE128" s="279"/>
      <c r="AF128" s="279"/>
      <c r="AG128" s="279"/>
      <c r="AH128" s="279"/>
    </row>
    <row r="129" spans="1:38" ht="14.45" customHeight="1">
      <c r="A129" s="2"/>
      <c r="B129" s="2"/>
      <c r="C129" s="2"/>
      <c r="D129" s="2"/>
      <c r="E129" s="286" t="s">
        <v>86</v>
      </c>
      <c r="F129" s="286"/>
      <c r="G129" s="286"/>
      <c r="H129" s="286"/>
      <c r="I129" s="286"/>
      <c r="J129" s="286" t="s">
        <v>87</v>
      </c>
      <c r="K129" s="286"/>
      <c r="L129" s="286"/>
      <c r="M129" s="286"/>
      <c r="N129" s="286"/>
      <c r="O129" s="286"/>
      <c r="P129" s="284">
        <v>122590000</v>
      </c>
      <c r="Q129" s="284"/>
      <c r="R129" s="284">
        <v>0</v>
      </c>
      <c r="S129" s="284"/>
      <c r="T129" s="284"/>
      <c r="U129" s="284"/>
      <c r="V129" s="10">
        <v>0</v>
      </c>
      <c r="W129" s="284">
        <v>0</v>
      </c>
      <c r="X129" s="284"/>
      <c r="Y129" s="284">
        <v>0</v>
      </c>
      <c r="Z129" s="284"/>
      <c r="AA129" s="284"/>
      <c r="AB129" s="290">
        <v>0</v>
      </c>
      <c r="AC129" s="290"/>
      <c r="AD129" s="284">
        <v>122590000</v>
      </c>
      <c r="AE129" s="284"/>
      <c r="AF129" s="284"/>
      <c r="AG129" s="284"/>
      <c r="AH129" s="284"/>
    </row>
    <row r="130" spans="1:38" ht="14.45" customHeight="1">
      <c r="A130" s="2"/>
      <c r="B130" s="2"/>
      <c r="C130" s="2"/>
      <c r="D130" s="2"/>
      <c r="E130" s="2"/>
      <c r="F130" s="283" t="s">
        <v>129</v>
      </c>
      <c r="G130" s="283"/>
      <c r="H130" s="283"/>
      <c r="I130" s="283"/>
      <c r="J130" s="283"/>
      <c r="K130" s="283"/>
      <c r="L130" s="283" t="s">
        <v>143</v>
      </c>
      <c r="M130" s="283"/>
      <c r="N130" s="283"/>
      <c r="O130" s="283"/>
      <c r="P130" s="279">
        <v>122590000</v>
      </c>
      <c r="Q130" s="279"/>
      <c r="R130" s="279">
        <v>0</v>
      </c>
      <c r="S130" s="279"/>
      <c r="T130" s="279"/>
      <c r="U130" s="279"/>
      <c r="V130" s="7">
        <v>0</v>
      </c>
      <c r="W130" s="279">
        <v>0</v>
      </c>
      <c r="X130" s="279"/>
      <c r="Y130" s="279">
        <v>0</v>
      </c>
      <c r="Z130" s="279"/>
      <c r="AA130" s="279"/>
      <c r="AB130" s="282">
        <v>0</v>
      </c>
      <c r="AC130" s="282"/>
      <c r="AD130" s="279">
        <v>122590000</v>
      </c>
      <c r="AE130" s="279"/>
      <c r="AF130" s="279"/>
      <c r="AG130" s="279"/>
      <c r="AH130" s="279"/>
      <c r="AI130" s="11"/>
      <c r="AJ130" s="11"/>
      <c r="AL130" s="12"/>
    </row>
    <row r="131" spans="1:38" ht="14.45" customHeight="1">
      <c r="A131" s="2"/>
      <c r="B131" s="2"/>
      <c r="C131" s="2"/>
      <c r="D131" s="2"/>
      <c r="E131" s="2"/>
      <c r="F131" s="2"/>
      <c r="G131" s="2"/>
      <c r="H131" s="283" t="s">
        <v>65</v>
      </c>
      <c r="I131" s="283"/>
      <c r="J131" s="283"/>
      <c r="K131" s="283"/>
      <c r="L131" s="283"/>
      <c r="M131" s="283" t="s">
        <v>66</v>
      </c>
      <c r="N131" s="283"/>
      <c r="O131" s="283"/>
      <c r="P131" s="279">
        <v>59040000</v>
      </c>
      <c r="Q131" s="279"/>
      <c r="R131" s="279">
        <v>0</v>
      </c>
      <c r="S131" s="279"/>
      <c r="T131" s="279"/>
      <c r="U131" s="279"/>
      <c r="V131" s="7">
        <v>0</v>
      </c>
      <c r="W131" s="279">
        <v>0</v>
      </c>
      <c r="X131" s="279"/>
      <c r="Y131" s="279">
        <v>0</v>
      </c>
      <c r="Z131" s="279"/>
      <c r="AA131" s="279"/>
      <c r="AB131" s="282">
        <v>0</v>
      </c>
      <c r="AC131" s="282"/>
      <c r="AD131" s="279">
        <v>59040000</v>
      </c>
      <c r="AE131" s="279"/>
      <c r="AF131" s="279"/>
      <c r="AG131" s="279"/>
      <c r="AH131" s="279"/>
    </row>
    <row r="132" spans="1:38" ht="14.45" customHeight="1">
      <c r="A132" s="2"/>
      <c r="B132" s="2"/>
      <c r="C132" s="2"/>
      <c r="D132" s="2"/>
      <c r="E132" s="2"/>
      <c r="F132" s="2"/>
      <c r="G132" s="2"/>
      <c r="H132" s="283" t="s">
        <v>67</v>
      </c>
      <c r="I132" s="283"/>
      <c r="J132" s="283"/>
      <c r="K132" s="283"/>
      <c r="L132" s="283"/>
      <c r="M132" s="283" t="s">
        <v>68</v>
      </c>
      <c r="N132" s="283"/>
      <c r="O132" s="283"/>
      <c r="P132" s="279">
        <v>63550000</v>
      </c>
      <c r="Q132" s="279"/>
      <c r="R132" s="279">
        <v>0</v>
      </c>
      <c r="S132" s="279"/>
      <c r="T132" s="279"/>
      <c r="U132" s="279"/>
      <c r="V132" s="7">
        <v>0</v>
      </c>
      <c r="W132" s="279">
        <v>0</v>
      </c>
      <c r="X132" s="279"/>
      <c r="Y132" s="279">
        <v>0</v>
      </c>
      <c r="Z132" s="279"/>
      <c r="AA132" s="279"/>
      <c r="AB132" s="282">
        <v>0</v>
      </c>
      <c r="AC132" s="282"/>
      <c r="AD132" s="279">
        <v>63550000</v>
      </c>
      <c r="AE132" s="279"/>
      <c r="AF132" s="279"/>
      <c r="AG132" s="279"/>
      <c r="AH132" s="279"/>
    </row>
    <row r="133" spans="1:38" ht="14.45" customHeight="1">
      <c r="A133" s="2"/>
      <c r="B133" s="2"/>
      <c r="C133" s="288" t="s">
        <v>144</v>
      </c>
      <c r="D133" s="288"/>
      <c r="E133" s="288"/>
      <c r="F133" s="288"/>
      <c r="G133" s="288"/>
      <c r="H133" s="288"/>
      <c r="I133" s="288"/>
      <c r="J133" s="288"/>
      <c r="K133" s="297" t="s">
        <v>145</v>
      </c>
      <c r="L133" s="297"/>
      <c r="M133" s="297"/>
      <c r="N133" s="297"/>
      <c r="O133" s="297"/>
      <c r="P133" s="281">
        <v>720000000</v>
      </c>
      <c r="Q133" s="281"/>
      <c r="R133" s="281">
        <v>0</v>
      </c>
      <c r="S133" s="281"/>
      <c r="T133" s="281"/>
      <c r="U133" s="281"/>
      <c r="V133" s="9">
        <v>155168250</v>
      </c>
      <c r="W133" s="299">
        <v>0</v>
      </c>
      <c r="X133" s="299"/>
      <c r="Y133" s="281">
        <v>155168250</v>
      </c>
      <c r="Z133" s="281"/>
      <c r="AA133" s="281"/>
      <c r="AB133" s="291">
        <v>0.21551145833333332</v>
      </c>
      <c r="AC133" s="291"/>
      <c r="AD133" s="281">
        <v>564831750</v>
      </c>
      <c r="AE133" s="281"/>
      <c r="AF133" s="281"/>
      <c r="AG133" s="281"/>
      <c r="AH133" s="281"/>
    </row>
    <row r="134" spans="1:38" ht="14.45" customHeight="1">
      <c r="A134" s="2"/>
      <c r="B134" s="2"/>
      <c r="C134" s="2"/>
      <c r="D134" s="2"/>
      <c r="E134" s="286" t="s">
        <v>61</v>
      </c>
      <c r="F134" s="286"/>
      <c r="G134" s="286"/>
      <c r="H134" s="286"/>
      <c r="I134" s="286"/>
      <c r="J134" s="286" t="s">
        <v>62</v>
      </c>
      <c r="K134" s="286"/>
      <c r="L134" s="286"/>
      <c r="M134" s="286"/>
      <c r="N134" s="286"/>
      <c r="O134" s="286"/>
      <c r="P134" s="284">
        <v>48120000</v>
      </c>
      <c r="Q134" s="284"/>
      <c r="R134" s="284">
        <v>0</v>
      </c>
      <c r="S134" s="284"/>
      <c r="T134" s="284"/>
      <c r="U134" s="284"/>
      <c r="V134" s="10">
        <v>10110000</v>
      </c>
      <c r="W134" s="284">
        <v>0</v>
      </c>
      <c r="X134" s="284"/>
      <c r="Y134" s="284">
        <v>10110000</v>
      </c>
      <c r="Z134" s="284"/>
      <c r="AA134" s="284"/>
      <c r="AB134" s="290">
        <v>0.21009975062344138</v>
      </c>
      <c r="AC134" s="290"/>
      <c r="AD134" s="284">
        <v>38010000</v>
      </c>
      <c r="AE134" s="284"/>
      <c r="AF134" s="284"/>
      <c r="AG134" s="284"/>
      <c r="AH134" s="284"/>
    </row>
    <row r="135" spans="1:38" ht="14.45" customHeight="1">
      <c r="A135" s="2"/>
      <c r="B135" s="2"/>
      <c r="C135" s="2"/>
      <c r="D135" s="2"/>
      <c r="E135" s="2"/>
      <c r="F135" s="283" t="s">
        <v>63</v>
      </c>
      <c r="G135" s="283"/>
      <c r="H135" s="283"/>
      <c r="I135" s="283"/>
      <c r="J135" s="283"/>
      <c r="K135" s="283"/>
      <c r="L135" s="283" t="s">
        <v>109</v>
      </c>
      <c r="M135" s="283"/>
      <c r="N135" s="283"/>
      <c r="O135" s="283"/>
      <c r="P135" s="279">
        <v>48120000</v>
      </c>
      <c r="Q135" s="279"/>
      <c r="R135" s="279">
        <v>0</v>
      </c>
      <c r="S135" s="279"/>
      <c r="T135" s="279"/>
      <c r="U135" s="279"/>
      <c r="V135" s="7">
        <v>10110000</v>
      </c>
      <c r="W135" s="279">
        <v>0</v>
      </c>
      <c r="X135" s="279"/>
      <c r="Y135" s="279">
        <v>10110000</v>
      </c>
      <c r="Z135" s="279"/>
      <c r="AA135" s="279"/>
      <c r="AB135" s="282">
        <v>0.21009975062344138</v>
      </c>
      <c r="AC135" s="282"/>
      <c r="AD135" s="279">
        <v>38010000</v>
      </c>
      <c r="AE135" s="279"/>
      <c r="AF135" s="279"/>
      <c r="AG135" s="279"/>
      <c r="AH135" s="279"/>
      <c r="AI135" s="11"/>
      <c r="AJ135" s="11"/>
      <c r="AL135" s="12"/>
    </row>
    <row r="136" spans="1:38" ht="14.45" customHeight="1">
      <c r="A136" s="2"/>
      <c r="B136" s="2"/>
      <c r="C136" s="2"/>
      <c r="D136" s="2"/>
      <c r="E136" s="2"/>
      <c r="F136" s="2"/>
      <c r="G136" s="2"/>
      <c r="H136" s="283" t="s">
        <v>65</v>
      </c>
      <c r="I136" s="283"/>
      <c r="J136" s="283"/>
      <c r="K136" s="283"/>
      <c r="L136" s="283"/>
      <c r="M136" s="283" t="s">
        <v>66</v>
      </c>
      <c r="N136" s="283"/>
      <c r="O136" s="283"/>
      <c r="P136" s="279">
        <v>29520000</v>
      </c>
      <c r="Q136" s="279"/>
      <c r="R136" s="279">
        <v>0</v>
      </c>
      <c r="S136" s="279"/>
      <c r="T136" s="279"/>
      <c r="U136" s="279"/>
      <c r="V136" s="7">
        <v>7350000</v>
      </c>
      <c r="W136" s="279">
        <v>0</v>
      </c>
      <c r="X136" s="279"/>
      <c r="Y136" s="279">
        <v>7350000</v>
      </c>
      <c r="Z136" s="279"/>
      <c r="AA136" s="279"/>
      <c r="AB136" s="282">
        <v>0.24898373983739838</v>
      </c>
      <c r="AC136" s="282"/>
      <c r="AD136" s="279">
        <v>22170000</v>
      </c>
      <c r="AE136" s="279"/>
      <c r="AF136" s="279"/>
      <c r="AG136" s="279"/>
      <c r="AH136" s="279"/>
    </row>
    <row r="137" spans="1:38" ht="14.45" customHeight="1">
      <c r="A137" s="2"/>
      <c r="B137" s="2"/>
      <c r="C137" s="2"/>
      <c r="D137" s="2"/>
      <c r="E137" s="2"/>
      <c r="F137" s="2"/>
      <c r="G137" s="2"/>
      <c r="H137" s="283" t="s">
        <v>67</v>
      </c>
      <c r="I137" s="283"/>
      <c r="J137" s="283"/>
      <c r="K137" s="283"/>
      <c r="L137" s="283"/>
      <c r="M137" s="283" t="s">
        <v>68</v>
      </c>
      <c r="N137" s="283"/>
      <c r="O137" s="283"/>
      <c r="P137" s="279">
        <v>18600000</v>
      </c>
      <c r="Q137" s="279"/>
      <c r="R137" s="279">
        <v>0</v>
      </c>
      <c r="S137" s="279"/>
      <c r="T137" s="279"/>
      <c r="U137" s="279"/>
      <c r="V137" s="7">
        <v>2760000</v>
      </c>
      <c r="W137" s="279">
        <v>0</v>
      </c>
      <c r="X137" s="279"/>
      <c r="Y137" s="279">
        <v>2760000</v>
      </c>
      <c r="Z137" s="279"/>
      <c r="AA137" s="279"/>
      <c r="AB137" s="282">
        <v>0.14838709677419354</v>
      </c>
      <c r="AC137" s="282"/>
      <c r="AD137" s="279">
        <v>15840000</v>
      </c>
      <c r="AE137" s="279"/>
      <c r="AF137" s="279"/>
      <c r="AG137" s="279"/>
      <c r="AH137" s="279"/>
    </row>
    <row r="138" spans="1:38" ht="24" customHeight="1">
      <c r="A138" s="2"/>
      <c r="B138" s="294" t="s">
        <v>92</v>
      </c>
      <c r="C138" s="294"/>
      <c r="D138" s="294"/>
      <c r="E138" s="294"/>
      <c r="F138" s="294"/>
      <c r="G138" s="294"/>
      <c r="H138" s="294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"/>
      <c r="AG138" s="2"/>
      <c r="AH138" s="2"/>
    </row>
    <row r="139" spans="1:38" ht="14.45" customHeight="1">
      <c r="A139" s="2"/>
      <c r="B139" s="2"/>
      <c r="C139" s="2"/>
      <c r="D139" s="2"/>
      <c r="E139" s="286" t="s">
        <v>69</v>
      </c>
      <c r="F139" s="286"/>
      <c r="G139" s="286"/>
      <c r="H139" s="286"/>
      <c r="I139" s="286"/>
      <c r="J139" s="286" t="s">
        <v>70</v>
      </c>
      <c r="K139" s="286"/>
      <c r="L139" s="286"/>
      <c r="M139" s="286"/>
      <c r="N139" s="286"/>
      <c r="O139" s="286"/>
      <c r="P139" s="284">
        <v>627510000</v>
      </c>
      <c r="Q139" s="284"/>
      <c r="R139" s="284">
        <v>0</v>
      </c>
      <c r="S139" s="284"/>
      <c r="T139" s="284"/>
      <c r="U139" s="284"/>
      <c r="V139" s="10">
        <v>145058250</v>
      </c>
      <c r="W139" s="284">
        <v>0</v>
      </c>
      <c r="X139" s="284"/>
      <c r="Y139" s="284">
        <v>145058250</v>
      </c>
      <c r="Z139" s="284"/>
      <c r="AA139" s="284"/>
      <c r="AB139" s="290">
        <v>0.2311648419945499</v>
      </c>
      <c r="AC139" s="290"/>
      <c r="AD139" s="284">
        <v>482451750</v>
      </c>
      <c r="AE139" s="284"/>
      <c r="AF139" s="284"/>
      <c r="AG139" s="284"/>
      <c r="AH139" s="284"/>
    </row>
    <row r="140" spans="1:38" ht="14.45" customHeight="1">
      <c r="A140" s="2"/>
      <c r="B140" s="2"/>
      <c r="C140" s="2"/>
      <c r="D140" s="2"/>
      <c r="E140" s="2"/>
      <c r="F140" s="283" t="s">
        <v>71</v>
      </c>
      <c r="G140" s="283"/>
      <c r="H140" s="283"/>
      <c r="I140" s="283"/>
      <c r="J140" s="283"/>
      <c r="K140" s="283"/>
      <c r="L140" s="283" t="s">
        <v>146</v>
      </c>
      <c r="M140" s="283"/>
      <c r="N140" s="283"/>
      <c r="O140" s="283"/>
      <c r="P140" s="279">
        <v>528000000</v>
      </c>
      <c r="Q140" s="279"/>
      <c r="R140" s="279">
        <v>0</v>
      </c>
      <c r="S140" s="279"/>
      <c r="T140" s="279"/>
      <c r="U140" s="279"/>
      <c r="V140" s="7">
        <v>135337800</v>
      </c>
      <c r="W140" s="279">
        <v>0</v>
      </c>
      <c r="X140" s="279"/>
      <c r="Y140" s="279">
        <v>135337800</v>
      </c>
      <c r="Z140" s="279"/>
      <c r="AA140" s="279"/>
      <c r="AB140" s="282">
        <v>0.2563215909090909</v>
      </c>
      <c r="AC140" s="282"/>
      <c r="AD140" s="279">
        <v>392662200</v>
      </c>
      <c r="AE140" s="279"/>
      <c r="AF140" s="279"/>
      <c r="AG140" s="279"/>
      <c r="AH140" s="279"/>
      <c r="AI140" s="11"/>
      <c r="AJ140" s="11"/>
      <c r="AL140" s="12"/>
    </row>
    <row r="141" spans="1:38" ht="18" customHeight="1">
      <c r="A141" s="2"/>
      <c r="B141" s="2"/>
      <c r="C141" s="2"/>
      <c r="D141" s="2"/>
      <c r="E141" s="2"/>
      <c r="F141" s="2"/>
      <c r="G141" s="2"/>
      <c r="H141" s="283" t="s">
        <v>73</v>
      </c>
      <c r="I141" s="283"/>
      <c r="J141" s="283"/>
      <c r="K141" s="283"/>
      <c r="L141" s="283"/>
      <c r="M141" s="283" t="s">
        <v>74</v>
      </c>
      <c r="N141" s="283"/>
      <c r="O141" s="283"/>
      <c r="P141" s="279">
        <v>168000000</v>
      </c>
      <c r="Q141" s="279"/>
      <c r="R141" s="279">
        <v>0</v>
      </c>
      <c r="S141" s="279"/>
      <c r="T141" s="279"/>
      <c r="U141" s="279"/>
      <c r="V141" s="7">
        <v>0</v>
      </c>
      <c r="W141" s="279">
        <v>0</v>
      </c>
      <c r="X141" s="279"/>
      <c r="Y141" s="279">
        <v>0</v>
      </c>
      <c r="Z141" s="279"/>
      <c r="AA141" s="279"/>
      <c r="AB141" s="282">
        <v>0</v>
      </c>
      <c r="AC141" s="282"/>
      <c r="AD141" s="279">
        <v>168000000</v>
      </c>
      <c r="AE141" s="279"/>
      <c r="AF141" s="279"/>
      <c r="AG141" s="279"/>
      <c r="AH141" s="279"/>
    </row>
    <row r="142" spans="1:38" ht="18" customHeight="1">
      <c r="A142" s="2"/>
      <c r="B142" s="2"/>
      <c r="C142" s="2"/>
      <c r="D142" s="2"/>
      <c r="E142" s="2"/>
      <c r="F142" s="2"/>
      <c r="G142" s="2"/>
      <c r="H142" s="283" t="s">
        <v>75</v>
      </c>
      <c r="I142" s="283"/>
      <c r="J142" s="283"/>
      <c r="K142" s="283"/>
      <c r="L142" s="283"/>
      <c r="M142" s="283" t="s">
        <v>76</v>
      </c>
      <c r="N142" s="283"/>
      <c r="O142" s="283"/>
      <c r="P142" s="279">
        <v>360000000</v>
      </c>
      <c r="Q142" s="279"/>
      <c r="R142" s="279">
        <v>0</v>
      </c>
      <c r="S142" s="279"/>
      <c r="T142" s="279"/>
      <c r="U142" s="279"/>
      <c r="V142" s="7">
        <v>135337800</v>
      </c>
      <c r="W142" s="279">
        <v>0</v>
      </c>
      <c r="X142" s="279"/>
      <c r="Y142" s="279">
        <v>135337800</v>
      </c>
      <c r="Z142" s="279"/>
      <c r="AA142" s="279"/>
      <c r="AB142" s="282">
        <v>0.37593833333333332</v>
      </c>
      <c r="AC142" s="282"/>
      <c r="AD142" s="279">
        <v>224662200</v>
      </c>
      <c r="AE142" s="279"/>
      <c r="AF142" s="279"/>
      <c r="AG142" s="279"/>
      <c r="AH142" s="279"/>
    </row>
    <row r="143" spans="1:38" ht="14.45" customHeight="1">
      <c r="A143" s="2"/>
      <c r="B143" s="2"/>
      <c r="C143" s="2"/>
      <c r="D143" s="2"/>
      <c r="E143" s="2"/>
      <c r="F143" s="283" t="s">
        <v>80</v>
      </c>
      <c r="G143" s="283"/>
      <c r="H143" s="283"/>
      <c r="I143" s="283"/>
      <c r="J143" s="283"/>
      <c r="K143" s="283"/>
      <c r="L143" s="283" t="s">
        <v>147</v>
      </c>
      <c r="M143" s="283"/>
      <c r="N143" s="283"/>
      <c r="O143" s="283"/>
      <c r="P143" s="279">
        <v>99510000</v>
      </c>
      <c r="Q143" s="279"/>
      <c r="R143" s="279">
        <v>0</v>
      </c>
      <c r="S143" s="279"/>
      <c r="T143" s="279"/>
      <c r="U143" s="279"/>
      <c r="V143" s="7">
        <v>9720450</v>
      </c>
      <c r="W143" s="279">
        <v>0</v>
      </c>
      <c r="X143" s="279"/>
      <c r="Y143" s="279">
        <v>9720450</v>
      </c>
      <c r="Z143" s="279"/>
      <c r="AA143" s="279"/>
      <c r="AB143" s="282">
        <v>9.7683147422369609E-2</v>
      </c>
      <c r="AC143" s="282"/>
      <c r="AD143" s="279">
        <v>89789550</v>
      </c>
      <c r="AE143" s="279"/>
      <c r="AF143" s="279"/>
      <c r="AG143" s="279"/>
      <c r="AH143" s="279"/>
      <c r="AI143" s="11"/>
      <c r="AJ143" s="11"/>
      <c r="AL143" s="12"/>
    </row>
    <row r="144" spans="1:38" ht="14.45" customHeight="1">
      <c r="A144" s="2"/>
      <c r="B144" s="2"/>
      <c r="C144" s="2"/>
      <c r="D144" s="2"/>
      <c r="E144" s="2"/>
      <c r="F144" s="2"/>
      <c r="G144" s="2"/>
      <c r="H144" s="283" t="s">
        <v>82</v>
      </c>
      <c r="I144" s="283"/>
      <c r="J144" s="283"/>
      <c r="K144" s="283"/>
      <c r="L144" s="283"/>
      <c r="M144" s="283" t="s">
        <v>83</v>
      </c>
      <c r="N144" s="283"/>
      <c r="O144" s="283"/>
      <c r="P144" s="279">
        <v>6370000</v>
      </c>
      <c r="Q144" s="279"/>
      <c r="R144" s="279">
        <v>0</v>
      </c>
      <c r="S144" s="279"/>
      <c r="T144" s="279"/>
      <c r="U144" s="279"/>
      <c r="V144" s="7">
        <v>5960450</v>
      </c>
      <c r="W144" s="279">
        <v>0</v>
      </c>
      <c r="X144" s="279"/>
      <c r="Y144" s="279">
        <v>5960450</v>
      </c>
      <c r="Z144" s="279"/>
      <c r="AA144" s="279"/>
      <c r="AB144" s="282">
        <v>0.93570643642072215</v>
      </c>
      <c r="AC144" s="282"/>
      <c r="AD144" s="279">
        <v>409550</v>
      </c>
      <c r="AE144" s="279"/>
      <c r="AF144" s="279"/>
      <c r="AG144" s="279"/>
      <c r="AH144" s="279"/>
    </row>
    <row r="145" spans="1:38" ht="14.45" customHeight="1">
      <c r="A145" s="2"/>
      <c r="B145" s="2"/>
      <c r="C145" s="2"/>
      <c r="D145" s="2"/>
      <c r="E145" s="2"/>
      <c r="F145" s="2"/>
      <c r="G145" s="2"/>
      <c r="H145" s="283" t="s">
        <v>84</v>
      </c>
      <c r="I145" s="283"/>
      <c r="J145" s="283"/>
      <c r="K145" s="283"/>
      <c r="L145" s="283"/>
      <c r="M145" s="283" t="s">
        <v>85</v>
      </c>
      <c r="N145" s="283"/>
      <c r="O145" s="283"/>
      <c r="P145" s="279">
        <v>20000000</v>
      </c>
      <c r="Q145" s="279"/>
      <c r="R145" s="279">
        <v>0</v>
      </c>
      <c r="S145" s="279"/>
      <c r="T145" s="279"/>
      <c r="U145" s="279"/>
      <c r="V145" s="7">
        <v>650000</v>
      </c>
      <c r="W145" s="279">
        <v>0</v>
      </c>
      <c r="X145" s="279"/>
      <c r="Y145" s="279">
        <v>650000</v>
      </c>
      <c r="Z145" s="279"/>
      <c r="AA145" s="279"/>
      <c r="AB145" s="282">
        <v>3.2500000000000001E-2</v>
      </c>
      <c r="AC145" s="282"/>
      <c r="AD145" s="279">
        <v>19350000</v>
      </c>
      <c r="AE145" s="279"/>
      <c r="AF145" s="279"/>
      <c r="AG145" s="279"/>
      <c r="AH145" s="279"/>
    </row>
    <row r="146" spans="1:38" ht="14.45" customHeight="1">
      <c r="A146" s="2"/>
      <c r="B146" s="2"/>
      <c r="C146" s="2"/>
      <c r="D146" s="2"/>
      <c r="E146" s="2"/>
      <c r="F146" s="2"/>
      <c r="G146" s="2"/>
      <c r="H146" s="283" t="s">
        <v>65</v>
      </c>
      <c r="I146" s="283"/>
      <c r="J146" s="283"/>
      <c r="K146" s="283"/>
      <c r="L146" s="283"/>
      <c r="M146" s="283" t="s">
        <v>66</v>
      </c>
      <c r="N146" s="283"/>
      <c r="O146" s="283"/>
      <c r="P146" s="279">
        <v>59040000</v>
      </c>
      <c r="Q146" s="279"/>
      <c r="R146" s="279">
        <v>0</v>
      </c>
      <c r="S146" s="279"/>
      <c r="T146" s="279"/>
      <c r="U146" s="279"/>
      <c r="V146" s="7">
        <v>0</v>
      </c>
      <c r="W146" s="279">
        <v>0</v>
      </c>
      <c r="X146" s="279"/>
      <c r="Y146" s="279">
        <v>0</v>
      </c>
      <c r="Z146" s="279"/>
      <c r="AA146" s="279"/>
      <c r="AB146" s="282">
        <v>0</v>
      </c>
      <c r="AC146" s="282"/>
      <c r="AD146" s="279">
        <v>59040000</v>
      </c>
      <c r="AE146" s="279"/>
      <c r="AF146" s="279"/>
      <c r="AG146" s="279"/>
      <c r="AH146" s="279"/>
    </row>
    <row r="147" spans="1:38" ht="14.45" customHeight="1">
      <c r="A147" s="2"/>
      <c r="B147" s="2"/>
      <c r="C147" s="2"/>
      <c r="D147" s="2"/>
      <c r="E147" s="2"/>
      <c r="F147" s="2"/>
      <c r="G147" s="2"/>
      <c r="H147" s="283" t="s">
        <v>67</v>
      </c>
      <c r="I147" s="283"/>
      <c r="J147" s="283"/>
      <c r="K147" s="283"/>
      <c r="L147" s="283"/>
      <c r="M147" s="283" t="s">
        <v>68</v>
      </c>
      <c r="N147" s="283"/>
      <c r="O147" s="283"/>
      <c r="P147" s="279">
        <v>14100000</v>
      </c>
      <c r="Q147" s="279"/>
      <c r="R147" s="279">
        <v>0</v>
      </c>
      <c r="S147" s="279"/>
      <c r="T147" s="279"/>
      <c r="U147" s="279"/>
      <c r="V147" s="7">
        <v>3110000</v>
      </c>
      <c r="W147" s="279">
        <v>0</v>
      </c>
      <c r="X147" s="279"/>
      <c r="Y147" s="279">
        <v>3110000</v>
      </c>
      <c r="Z147" s="279"/>
      <c r="AA147" s="279"/>
      <c r="AB147" s="282">
        <v>0.22056737588652484</v>
      </c>
      <c r="AC147" s="282"/>
      <c r="AD147" s="279">
        <v>10990000</v>
      </c>
      <c r="AE147" s="279"/>
      <c r="AF147" s="279"/>
      <c r="AG147" s="279"/>
      <c r="AH147" s="279"/>
    </row>
    <row r="148" spans="1:38" ht="14.45" customHeight="1">
      <c r="A148" s="2"/>
      <c r="B148" s="2"/>
      <c r="C148" s="2"/>
      <c r="D148" s="2"/>
      <c r="E148" s="286" t="s">
        <v>86</v>
      </c>
      <c r="F148" s="286"/>
      <c r="G148" s="286"/>
      <c r="H148" s="286"/>
      <c r="I148" s="286"/>
      <c r="J148" s="286" t="s">
        <v>87</v>
      </c>
      <c r="K148" s="286"/>
      <c r="L148" s="286"/>
      <c r="M148" s="286"/>
      <c r="N148" s="286"/>
      <c r="O148" s="286"/>
      <c r="P148" s="284">
        <v>44370000</v>
      </c>
      <c r="Q148" s="284"/>
      <c r="R148" s="284">
        <v>0</v>
      </c>
      <c r="S148" s="284"/>
      <c r="T148" s="284"/>
      <c r="U148" s="284"/>
      <c r="V148" s="10">
        <v>0</v>
      </c>
      <c r="W148" s="284">
        <v>0</v>
      </c>
      <c r="X148" s="284"/>
      <c r="Y148" s="284">
        <v>0</v>
      </c>
      <c r="Z148" s="284"/>
      <c r="AA148" s="284"/>
      <c r="AB148" s="290">
        <v>0</v>
      </c>
      <c r="AC148" s="290"/>
      <c r="AD148" s="284">
        <v>44370000</v>
      </c>
      <c r="AE148" s="284"/>
      <c r="AF148" s="284"/>
      <c r="AG148" s="284"/>
      <c r="AH148" s="284"/>
    </row>
    <row r="149" spans="1:38" ht="14.45" customHeight="1">
      <c r="A149" s="2"/>
      <c r="B149" s="2"/>
      <c r="C149" s="2"/>
      <c r="D149" s="2"/>
      <c r="E149" s="2"/>
      <c r="F149" s="283" t="s">
        <v>129</v>
      </c>
      <c r="G149" s="283"/>
      <c r="H149" s="283"/>
      <c r="I149" s="283"/>
      <c r="J149" s="283"/>
      <c r="K149" s="283"/>
      <c r="L149" s="283" t="s">
        <v>148</v>
      </c>
      <c r="M149" s="283"/>
      <c r="N149" s="283"/>
      <c r="O149" s="283"/>
      <c r="P149" s="279">
        <v>44370000</v>
      </c>
      <c r="Q149" s="279"/>
      <c r="R149" s="279">
        <v>0</v>
      </c>
      <c r="S149" s="279"/>
      <c r="T149" s="279"/>
      <c r="U149" s="279"/>
      <c r="V149" s="7">
        <v>0</v>
      </c>
      <c r="W149" s="279">
        <v>0</v>
      </c>
      <c r="X149" s="279"/>
      <c r="Y149" s="279">
        <v>0</v>
      </c>
      <c r="Z149" s="279"/>
      <c r="AA149" s="279"/>
      <c r="AB149" s="282">
        <v>0</v>
      </c>
      <c r="AC149" s="282"/>
      <c r="AD149" s="279">
        <v>44370000</v>
      </c>
      <c r="AE149" s="279"/>
      <c r="AF149" s="279"/>
      <c r="AG149" s="279"/>
      <c r="AH149" s="279"/>
      <c r="AI149" s="11"/>
      <c r="AJ149" s="11"/>
      <c r="AL149" s="12"/>
    </row>
    <row r="150" spans="1:38" ht="14.45" customHeight="1">
      <c r="A150" s="2"/>
      <c r="B150" s="2"/>
      <c r="C150" s="2"/>
      <c r="D150" s="2"/>
      <c r="E150" s="2"/>
      <c r="F150" s="2"/>
      <c r="G150" s="2"/>
      <c r="H150" s="283" t="s">
        <v>65</v>
      </c>
      <c r="I150" s="283"/>
      <c r="J150" s="283"/>
      <c r="K150" s="283"/>
      <c r="L150" s="283"/>
      <c r="M150" s="283" t="s">
        <v>66</v>
      </c>
      <c r="N150" s="283"/>
      <c r="O150" s="283"/>
      <c r="P150" s="279">
        <v>29520000</v>
      </c>
      <c r="Q150" s="279"/>
      <c r="R150" s="279">
        <v>0</v>
      </c>
      <c r="S150" s="279"/>
      <c r="T150" s="279"/>
      <c r="U150" s="279"/>
      <c r="V150" s="7">
        <v>0</v>
      </c>
      <c r="W150" s="279">
        <v>0</v>
      </c>
      <c r="X150" s="279"/>
      <c r="Y150" s="279">
        <v>0</v>
      </c>
      <c r="Z150" s="279"/>
      <c r="AA150" s="279"/>
      <c r="AB150" s="282">
        <v>0</v>
      </c>
      <c r="AC150" s="282"/>
      <c r="AD150" s="279">
        <v>29520000</v>
      </c>
      <c r="AE150" s="279"/>
      <c r="AF150" s="279"/>
      <c r="AG150" s="279"/>
      <c r="AH150" s="279"/>
    </row>
    <row r="151" spans="1:38" ht="14.45" customHeight="1">
      <c r="A151" s="2"/>
      <c r="B151" s="2"/>
      <c r="C151" s="2"/>
      <c r="D151" s="2"/>
      <c r="E151" s="2"/>
      <c r="F151" s="2"/>
      <c r="G151" s="2"/>
      <c r="H151" s="283" t="s">
        <v>67</v>
      </c>
      <c r="I151" s="283"/>
      <c r="J151" s="283"/>
      <c r="K151" s="283"/>
      <c r="L151" s="283"/>
      <c r="M151" s="283" t="s">
        <v>68</v>
      </c>
      <c r="N151" s="283"/>
      <c r="O151" s="283"/>
      <c r="P151" s="279">
        <v>14850000</v>
      </c>
      <c r="Q151" s="279"/>
      <c r="R151" s="279">
        <v>0</v>
      </c>
      <c r="S151" s="279"/>
      <c r="T151" s="279"/>
      <c r="U151" s="279"/>
      <c r="V151" s="7">
        <v>0</v>
      </c>
      <c r="W151" s="279">
        <v>0</v>
      </c>
      <c r="X151" s="279"/>
      <c r="Y151" s="279">
        <v>0</v>
      </c>
      <c r="Z151" s="279"/>
      <c r="AA151" s="279"/>
      <c r="AB151" s="282">
        <v>0</v>
      </c>
      <c r="AC151" s="282"/>
      <c r="AD151" s="279">
        <v>14850000</v>
      </c>
      <c r="AE151" s="279"/>
      <c r="AF151" s="279"/>
      <c r="AG151" s="279"/>
      <c r="AH151" s="279"/>
    </row>
    <row r="152" spans="1:38" ht="14.45" customHeight="1">
      <c r="A152" s="2"/>
      <c r="B152" s="283" t="s">
        <v>149</v>
      </c>
      <c r="C152" s="283"/>
      <c r="D152" s="283" t="s">
        <v>150</v>
      </c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79">
        <v>12243866000</v>
      </c>
      <c r="Q152" s="279"/>
      <c r="R152" s="279">
        <v>0</v>
      </c>
      <c r="S152" s="279"/>
      <c r="T152" s="279"/>
      <c r="U152" s="279"/>
      <c r="V152" s="7">
        <v>4338870840</v>
      </c>
      <c r="W152" s="279">
        <v>512310264</v>
      </c>
      <c r="X152" s="279"/>
      <c r="Y152" s="279">
        <v>4851181104</v>
      </c>
      <c r="Z152" s="279"/>
      <c r="AA152" s="279"/>
      <c r="AB152" s="282">
        <v>0.39621318168624192</v>
      </c>
      <c r="AC152" s="282"/>
      <c r="AD152" s="279">
        <v>7392684896</v>
      </c>
      <c r="AE152" s="279"/>
      <c r="AF152" s="279"/>
      <c r="AG152" s="279"/>
      <c r="AH152" s="279"/>
    </row>
    <row r="153" spans="1:38" ht="18" customHeight="1">
      <c r="A153" s="2"/>
      <c r="B153" s="283" t="s">
        <v>151</v>
      </c>
      <c r="C153" s="283"/>
      <c r="D153" s="283"/>
      <c r="E153" s="283"/>
      <c r="F153" s="283"/>
      <c r="G153" s="283"/>
      <c r="H153" s="283"/>
      <c r="I153" s="283" t="s">
        <v>152</v>
      </c>
      <c r="J153" s="283"/>
      <c r="K153" s="283"/>
      <c r="L153" s="283"/>
      <c r="M153" s="283"/>
      <c r="N153" s="283"/>
      <c r="O153" s="283"/>
      <c r="P153" s="279">
        <v>12243866000</v>
      </c>
      <c r="Q153" s="279"/>
      <c r="R153" s="279">
        <v>0</v>
      </c>
      <c r="S153" s="279"/>
      <c r="T153" s="279"/>
      <c r="U153" s="279"/>
      <c r="V153" s="7">
        <v>4338870840</v>
      </c>
      <c r="W153" s="279">
        <v>512310264</v>
      </c>
      <c r="X153" s="279"/>
      <c r="Y153" s="279">
        <v>4851181104</v>
      </c>
      <c r="Z153" s="279"/>
      <c r="AA153" s="279"/>
      <c r="AB153" s="282">
        <v>0.39621318168624192</v>
      </c>
      <c r="AC153" s="282"/>
      <c r="AD153" s="279">
        <v>7392684896</v>
      </c>
      <c r="AE153" s="279"/>
      <c r="AF153" s="279"/>
      <c r="AG153" s="279"/>
      <c r="AH153" s="279"/>
    </row>
    <row r="154" spans="1:38" ht="14.45" customHeight="1">
      <c r="A154" s="2"/>
      <c r="B154" s="2"/>
      <c r="C154" s="295" t="s">
        <v>153</v>
      </c>
      <c r="D154" s="295"/>
      <c r="E154" s="295"/>
      <c r="F154" s="295"/>
      <c r="G154" s="295" t="s">
        <v>154</v>
      </c>
      <c r="H154" s="295"/>
      <c r="I154" s="295"/>
      <c r="J154" s="295"/>
      <c r="K154" s="295"/>
      <c r="L154" s="295"/>
      <c r="M154" s="295"/>
      <c r="N154" s="295"/>
      <c r="O154" s="295"/>
      <c r="P154" s="280">
        <v>12243866000</v>
      </c>
      <c r="Q154" s="280"/>
      <c r="R154" s="280">
        <v>0</v>
      </c>
      <c r="S154" s="280"/>
      <c r="T154" s="280"/>
      <c r="U154" s="280"/>
      <c r="V154" s="8">
        <v>4338870840</v>
      </c>
      <c r="W154" s="280">
        <v>512310264</v>
      </c>
      <c r="X154" s="280"/>
      <c r="Y154" s="280">
        <v>4851181104</v>
      </c>
      <c r="Z154" s="280"/>
      <c r="AA154" s="280"/>
      <c r="AB154" s="298">
        <v>0.39621318168624192</v>
      </c>
      <c r="AC154" s="298"/>
      <c r="AD154" s="280">
        <v>7392684896</v>
      </c>
      <c r="AE154" s="280"/>
      <c r="AF154" s="280"/>
      <c r="AG154" s="280"/>
      <c r="AH154" s="280"/>
    </row>
    <row r="155" spans="1:38" ht="14.45" customHeight="1">
      <c r="A155" s="2"/>
      <c r="B155" s="2"/>
      <c r="C155" s="297" t="s">
        <v>155</v>
      </c>
      <c r="D155" s="297"/>
      <c r="E155" s="297"/>
      <c r="F155" s="297"/>
      <c r="G155" s="297"/>
      <c r="H155" s="297"/>
      <c r="I155" s="297"/>
      <c r="J155" s="297"/>
      <c r="K155" s="297" t="s">
        <v>156</v>
      </c>
      <c r="L155" s="297"/>
      <c r="M155" s="297"/>
      <c r="N155" s="297"/>
      <c r="O155" s="297"/>
      <c r="P155" s="281">
        <v>260390000</v>
      </c>
      <c r="Q155" s="281"/>
      <c r="R155" s="281">
        <v>0</v>
      </c>
      <c r="S155" s="281"/>
      <c r="T155" s="281"/>
      <c r="U155" s="281"/>
      <c r="V155" s="9">
        <v>133819679</v>
      </c>
      <c r="W155" s="299">
        <v>0</v>
      </c>
      <c r="X155" s="299"/>
      <c r="Y155" s="281">
        <v>133819679</v>
      </c>
      <c r="Z155" s="281"/>
      <c r="AA155" s="281"/>
      <c r="AB155" s="291">
        <v>0.51392019278774148</v>
      </c>
      <c r="AC155" s="291"/>
      <c r="AD155" s="281">
        <v>126570321</v>
      </c>
      <c r="AE155" s="281"/>
      <c r="AF155" s="281"/>
      <c r="AG155" s="281"/>
      <c r="AH155" s="281"/>
    </row>
    <row r="156" spans="1:38" ht="14.45" customHeight="1">
      <c r="A156" s="2"/>
      <c r="B156" s="2"/>
      <c r="C156" s="2"/>
      <c r="D156" s="2"/>
      <c r="E156" s="286" t="s">
        <v>119</v>
      </c>
      <c r="F156" s="286"/>
      <c r="G156" s="286"/>
      <c r="H156" s="286"/>
      <c r="I156" s="286"/>
      <c r="J156" s="286" t="s">
        <v>157</v>
      </c>
      <c r="K156" s="286"/>
      <c r="L156" s="286"/>
      <c r="M156" s="286"/>
      <c r="N156" s="286"/>
      <c r="O156" s="286"/>
      <c r="P156" s="284">
        <v>33240000</v>
      </c>
      <c r="Q156" s="284"/>
      <c r="R156" s="284">
        <v>0</v>
      </c>
      <c r="S156" s="284"/>
      <c r="T156" s="284"/>
      <c r="U156" s="284"/>
      <c r="V156" s="10">
        <v>9537366</v>
      </c>
      <c r="W156" s="284">
        <v>0</v>
      </c>
      <c r="X156" s="284"/>
      <c r="Y156" s="284">
        <v>9537366</v>
      </c>
      <c r="Z156" s="284"/>
      <c r="AA156" s="284"/>
      <c r="AB156" s="290">
        <v>0.28692436823104694</v>
      </c>
      <c r="AC156" s="290"/>
      <c r="AD156" s="284">
        <v>23702634</v>
      </c>
      <c r="AE156" s="284"/>
      <c r="AF156" s="284"/>
      <c r="AG156" s="284"/>
      <c r="AH156" s="284"/>
      <c r="AI156" s="11"/>
      <c r="AJ156" s="11"/>
      <c r="AL156" s="12"/>
    </row>
    <row r="157" spans="1:38" ht="14.45" customHeight="1">
      <c r="A157" s="2"/>
      <c r="B157" s="2"/>
      <c r="C157" s="2"/>
      <c r="D157" s="2"/>
      <c r="E157" s="2"/>
      <c r="F157" s="283" t="s">
        <v>121</v>
      </c>
      <c r="G157" s="283"/>
      <c r="H157" s="283"/>
      <c r="I157" s="283"/>
      <c r="J157" s="283"/>
      <c r="K157" s="283"/>
      <c r="L157" s="283" t="s">
        <v>158</v>
      </c>
      <c r="M157" s="283"/>
      <c r="N157" s="283"/>
      <c r="O157" s="283"/>
      <c r="P157" s="279">
        <v>33240000</v>
      </c>
      <c r="Q157" s="279"/>
      <c r="R157" s="279">
        <v>0</v>
      </c>
      <c r="S157" s="279"/>
      <c r="T157" s="279"/>
      <c r="U157" s="279"/>
      <c r="V157" s="7">
        <v>9537366</v>
      </c>
      <c r="W157" s="279">
        <v>0</v>
      </c>
      <c r="X157" s="279"/>
      <c r="Y157" s="279">
        <v>9537366</v>
      </c>
      <c r="Z157" s="279"/>
      <c r="AA157" s="279"/>
      <c r="AB157" s="282">
        <v>0.28692436823104694</v>
      </c>
      <c r="AC157" s="282"/>
      <c r="AD157" s="279">
        <v>23702634</v>
      </c>
      <c r="AE157" s="279"/>
      <c r="AF157" s="279"/>
      <c r="AG157" s="279"/>
      <c r="AH157" s="279"/>
    </row>
    <row r="158" spans="1:38" ht="14.45" customHeight="1">
      <c r="A158" s="2"/>
      <c r="B158" s="2"/>
      <c r="C158" s="2"/>
      <c r="D158" s="2"/>
      <c r="E158" s="2"/>
      <c r="F158" s="2"/>
      <c r="G158" s="2"/>
      <c r="H158" s="283" t="s">
        <v>65</v>
      </c>
      <c r="I158" s="283"/>
      <c r="J158" s="283"/>
      <c r="K158" s="283"/>
      <c r="L158" s="283"/>
      <c r="M158" s="283" t="s">
        <v>66</v>
      </c>
      <c r="N158" s="283"/>
      <c r="O158" s="283"/>
      <c r="P158" s="279">
        <v>33240000</v>
      </c>
      <c r="Q158" s="279"/>
      <c r="R158" s="279">
        <v>0</v>
      </c>
      <c r="S158" s="279"/>
      <c r="T158" s="279"/>
      <c r="U158" s="279"/>
      <c r="V158" s="7">
        <v>9537366</v>
      </c>
      <c r="W158" s="279">
        <v>0</v>
      </c>
      <c r="X158" s="279"/>
      <c r="Y158" s="279">
        <v>9537366</v>
      </c>
      <c r="Z158" s="279"/>
      <c r="AA158" s="279"/>
      <c r="AB158" s="282">
        <v>0.28692436823104694</v>
      </c>
      <c r="AC158" s="282"/>
      <c r="AD158" s="279">
        <v>23702634</v>
      </c>
      <c r="AE158" s="279"/>
      <c r="AF158" s="279"/>
      <c r="AG158" s="279"/>
      <c r="AH158" s="279"/>
    </row>
    <row r="159" spans="1:38" ht="14.45" customHeight="1">
      <c r="A159" s="2"/>
      <c r="B159" s="2"/>
      <c r="C159" s="2"/>
      <c r="D159" s="2"/>
      <c r="E159" s="286" t="s">
        <v>159</v>
      </c>
      <c r="F159" s="286"/>
      <c r="G159" s="286"/>
      <c r="H159" s="286"/>
      <c r="I159" s="286"/>
      <c r="J159" s="286" t="s">
        <v>160</v>
      </c>
      <c r="K159" s="286"/>
      <c r="L159" s="286"/>
      <c r="M159" s="286"/>
      <c r="N159" s="286"/>
      <c r="O159" s="286"/>
      <c r="P159" s="284">
        <v>227150000</v>
      </c>
      <c r="Q159" s="284"/>
      <c r="R159" s="284">
        <v>0</v>
      </c>
      <c r="S159" s="284"/>
      <c r="T159" s="284"/>
      <c r="U159" s="284"/>
      <c r="V159" s="10">
        <v>124282313</v>
      </c>
      <c r="W159" s="284">
        <v>0</v>
      </c>
      <c r="X159" s="284"/>
      <c r="Y159" s="284">
        <v>124282313</v>
      </c>
      <c r="Z159" s="284"/>
      <c r="AA159" s="284"/>
      <c r="AB159" s="290">
        <v>0.54713763152102135</v>
      </c>
      <c r="AC159" s="290"/>
      <c r="AD159" s="284">
        <v>102867687</v>
      </c>
      <c r="AE159" s="284"/>
      <c r="AF159" s="284"/>
      <c r="AG159" s="284"/>
      <c r="AH159" s="284"/>
      <c r="AI159" s="11"/>
      <c r="AJ159" s="11"/>
      <c r="AL159" s="12"/>
    </row>
    <row r="160" spans="1:38" ht="14.45" customHeight="1">
      <c r="A160" s="2"/>
      <c r="B160" s="2"/>
      <c r="C160" s="2"/>
      <c r="D160" s="2"/>
      <c r="E160" s="2"/>
      <c r="F160" s="283" t="s">
        <v>161</v>
      </c>
      <c r="G160" s="283"/>
      <c r="H160" s="283"/>
      <c r="I160" s="283"/>
      <c r="J160" s="283"/>
      <c r="K160" s="283"/>
      <c r="L160" s="283" t="s">
        <v>162</v>
      </c>
      <c r="M160" s="283"/>
      <c r="N160" s="283"/>
      <c r="O160" s="283"/>
      <c r="P160" s="279">
        <v>85080000</v>
      </c>
      <c r="Q160" s="279"/>
      <c r="R160" s="279">
        <v>0</v>
      </c>
      <c r="S160" s="279"/>
      <c r="T160" s="279"/>
      <c r="U160" s="279"/>
      <c r="V160" s="7">
        <v>32712774</v>
      </c>
      <c r="W160" s="279">
        <v>0</v>
      </c>
      <c r="X160" s="279"/>
      <c r="Y160" s="279">
        <v>32712774</v>
      </c>
      <c r="Z160" s="279"/>
      <c r="AA160" s="279"/>
      <c r="AB160" s="282">
        <v>0.38449428772919603</v>
      </c>
      <c r="AC160" s="282"/>
      <c r="AD160" s="279">
        <v>52367226</v>
      </c>
      <c r="AE160" s="279"/>
      <c r="AF160" s="279"/>
      <c r="AG160" s="279"/>
      <c r="AH160" s="279"/>
    </row>
    <row r="161" spans="1:38" ht="14.45" customHeight="1">
      <c r="A161" s="2"/>
      <c r="B161" s="2"/>
      <c r="C161" s="2"/>
      <c r="D161" s="2"/>
      <c r="E161" s="2"/>
      <c r="F161" s="2"/>
      <c r="G161" s="2"/>
      <c r="H161" s="283" t="s">
        <v>163</v>
      </c>
      <c r="I161" s="283"/>
      <c r="J161" s="283"/>
      <c r="K161" s="283"/>
      <c r="L161" s="283"/>
      <c r="M161" s="283" t="s">
        <v>164</v>
      </c>
      <c r="N161" s="283"/>
      <c r="O161" s="283"/>
      <c r="P161" s="279">
        <v>18600000</v>
      </c>
      <c r="Q161" s="279"/>
      <c r="R161" s="279">
        <v>0</v>
      </c>
      <c r="S161" s="279"/>
      <c r="T161" s="279"/>
      <c r="U161" s="279"/>
      <c r="V161" s="7">
        <v>6200000</v>
      </c>
      <c r="W161" s="279">
        <v>0</v>
      </c>
      <c r="X161" s="279"/>
      <c r="Y161" s="279">
        <v>6200000</v>
      </c>
      <c r="Z161" s="279"/>
      <c r="AA161" s="279"/>
      <c r="AB161" s="282">
        <v>0.33333333333333331</v>
      </c>
      <c r="AC161" s="282"/>
      <c r="AD161" s="279">
        <v>12400000</v>
      </c>
      <c r="AE161" s="279"/>
      <c r="AF161" s="279"/>
      <c r="AG161" s="279"/>
      <c r="AH161" s="279"/>
    </row>
    <row r="162" spans="1:38" ht="14.45" customHeight="1">
      <c r="A162" s="2"/>
      <c r="B162" s="2"/>
      <c r="C162" s="2"/>
      <c r="D162" s="2"/>
      <c r="E162" s="2"/>
      <c r="F162" s="2"/>
      <c r="G162" s="2"/>
      <c r="H162" s="283" t="s">
        <v>65</v>
      </c>
      <c r="I162" s="283"/>
      <c r="J162" s="283"/>
      <c r="K162" s="283"/>
      <c r="L162" s="283"/>
      <c r="M162" s="283" t="s">
        <v>66</v>
      </c>
      <c r="N162" s="283"/>
      <c r="O162" s="283"/>
      <c r="P162" s="279">
        <v>66480000</v>
      </c>
      <c r="Q162" s="279"/>
      <c r="R162" s="279">
        <v>0</v>
      </c>
      <c r="S162" s="279"/>
      <c r="T162" s="279"/>
      <c r="U162" s="279"/>
      <c r="V162" s="7">
        <v>26512774</v>
      </c>
      <c r="W162" s="279">
        <v>0</v>
      </c>
      <c r="X162" s="279"/>
      <c r="Y162" s="279">
        <v>26512774</v>
      </c>
      <c r="Z162" s="279"/>
      <c r="AA162" s="279"/>
      <c r="AB162" s="282">
        <v>0.39880827316486162</v>
      </c>
      <c r="AC162" s="282"/>
      <c r="AD162" s="279">
        <v>39967226</v>
      </c>
      <c r="AE162" s="279"/>
      <c r="AF162" s="279"/>
      <c r="AG162" s="279"/>
      <c r="AH162" s="279"/>
    </row>
    <row r="163" spans="1:38" ht="14.45" customHeight="1">
      <c r="A163" s="2"/>
      <c r="B163" s="2"/>
      <c r="C163" s="2"/>
      <c r="D163" s="2"/>
      <c r="E163" s="2"/>
      <c r="F163" s="283" t="s">
        <v>165</v>
      </c>
      <c r="G163" s="283"/>
      <c r="H163" s="283"/>
      <c r="I163" s="283"/>
      <c r="J163" s="283"/>
      <c r="K163" s="283"/>
      <c r="L163" s="283" t="s">
        <v>166</v>
      </c>
      <c r="M163" s="283"/>
      <c r="N163" s="283"/>
      <c r="O163" s="283"/>
      <c r="P163" s="279">
        <v>53460000</v>
      </c>
      <c r="Q163" s="279"/>
      <c r="R163" s="279">
        <v>0</v>
      </c>
      <c r="S163" s="279"/>
      <c r="T163" s="279"/>
      <c r="U163" s="279"/>
      <c r="V163" s="7">
        <v>41734001</v>
      </c>
      <c r="W163" s="279">
        <v>0</v>
      </c>
      <c r="X163" s="279"/>
      <c r="Y163" s="279">
        <v>41734001</v>
      </c>
      <c r="Z163" s="279"/>
      <c r="AA163" s="279"/>
      <c r="AB163" s="282">
        <v>0.78065845491956598</v>
      </c>
      <c r="AC163" s="282"/>
      <c r="AD163" s="279">
        <v>11725999</v>
      </c>
      <c r="AE163" s="279"/>
      <c r="AF163" s="279"/>
      <c r="AG163" s="279"/>
      <c r="AH163" s="279"/>
    </row>
    <row r="164" spans="1:38" ht="24" customHeight="1">
      <c r="A164" s="2"/>
      <c r="B164" s="294" t="s">
        <v>92</v>
      </c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4"/>
      <c r="AF164" s="2"/>
      <c r="AG164" s="2"/>
      <c r="AH164" s="2"/>
    </row>
    <row r="165" spans="1:38" ht="14.45" customHeight="1">
      <c r="A165" s="2"/>
      <c r="B165" s="2"/>
      <c r="C165" s="2"/>
      <c r="D165" s="2"/>
      <c r="E165" s="2"/>
      <c r="F165" s="2"/>
      <c r="G165" s="2"/>
      <c r="H165" s="283" t="s">
        <v>65</v>
      </c>
      <c r="I165" s="283"/>
      <c r="J165" s="283"/>
      <c r="K165" s="283"/>
      <c r="L165" s="283"/>
      <c r="M165" s="283" t="s">
        <v>66</v>
      </c>
      <c r="N165" s="283"/>
      <c r="O165" s="283"/>
      <c r="P165" s="279">
        <v>49860000</v>
      </c>
      <c r="Q165" s="279"/>
      <c r="R165" s="279">
        <v>0</v>
      </c>
      <c r="S165" s="279"/>
      <c r="T165" s="279"/>
      <c r="U165" s="279"/>
      <c r="V165" s="7">
        <v>41734001</v>
      </c>
      <c r="W165" s="279">
        <v>0</v>
      </c>
      <c r="X165" s="279"/>
      <c r="Y165" s="279">
        <v>41734001</v>
      </c>
      <c r="Z165" s="279"/>
      <c r="AA165" s="279"/>
      <c r="AB165" s="282">
        <v>0.83702368632170077</v>
      </c>
      <c r="AC165" s="282"/>
      <c r="AD165" s="279">
        <v>8125999</v>
      </c>
      <c r="AE165" s="279"/>
      <c r="AF165" s="279"/>
      <c r="AG165" s="279"/>
      <c r="AH165" s="279"/>
    </row>
    <row r="166" spans="1:38" ht="14.45" customHeight="1">
      <c r="A166" s="2"/>
      <c r="B166" s="2"/>
      <c r="C166" s="2"/>
      <c r="D166" s="2"/>
      <c r="E166" s="2"/>
      <c r="F166" s="2"/>
      <c r="G166" s="2"/>
      <c r="H166" s="283" t="s">
        <v>67</v>
      </c>
      <c r="I166" s="283"/>
      <c r="J166" s="283"/>
      <c r="K166" s="283"/>
      <c r="L166" s="283"/>
      <c r="M166" s="283" t="s">
        <v>68</v>
      </c>
      <c r="N166" s="283"/>
      <c r="O166" s="283"/>
      <c r="P166" s="279">
        <v>3600000</v>
      </c>
      <c r="Q166" s="279"/>
      <c r="R166" s="279">
        <v>0</v>
      </c>
      <c r="S166" s="279"/>
      <c r="T166" s="279"/>
      <c r="U166" s="279"/>
      <c r="V166" s="7">
        <v>0</v>
      </c>
      <c r="W166" s="279">
        <v>0</v>
      </c>
      <c r="X166" s="279"/>
      <c r="Y166" s="279">
        <v>0</v>
      </c>
      <c r="Z166" s="279"/>
      <c r="AA166" s="279"/>
      <c r="AB166" s="282">
        <v>0</v>
      </c>
      <c r="AC166" s="282"/>
      <c r="AD166" s="279">
        <v>3600000</v>
      </c>
      <c r="AE166" s="279"/>
      <c r="AF166" s="279"/>
      <c r="AG166" s="279"/>
      <c r="AH166" s="279"/>
    </row>
    <row r="167" spans="1:38" ht="14.45" customHeight="1">
      <c r="A167" s="2"/>
      <c r="B167" s="2"/>
      <c r="C167" s="2"/>
      <c r="D167" s="2"/>
      <c r="E167" s="2"/>
      <c r="F167" s="283" t="s">
        <v>167</v>
      </c>
      <c r="G167" s="283"/>
      <c r="H167" s="283"/>
      <c r="I167" s="283"/>
      <c r="J167" s="283"/>
      <c r="K167" s="283"/>
      <c r="L167" s="283" t="s">
        <v>168</v>
      </c>
      <c r="M167" s="283"/>
      <c r="N167" s="283"/>
      <c r="O167" s="283"/>
      <c r="P167" s="279">
        <v>49860000</v>
      </c>
      <c r="Q167" s="279"/>
      <c r="R167" s="279">
        <v>0</v>
      </c>
      <c r="S167" s="279"/>
      <c r="T167" s="279"/>
      <c r="U167" s="279"/>
      <c r="V167" s="7">
        <v>39676038</v>
      </c>
      <c r="W167" s="279">
        <v>0</v>
      </c>
      <c r="X167" s="279"/>
      <c r="Y167" s="279">
        <v>39676038</v>
      </c>
      <c r="Z167" s="279"/>
      <c r="AA167" s="279"/>
      <c r="AB167" s="282">
        <v>0.79574885679903729</v>
      </c>
      <c r="AC167" s="282"/>
      <c r="AD167" s="279">
        <v>10183962</v>
      </c>
      <c r="AE167" s="279"/>
      <c r="AF167" s="279"/>
      <c r="AG167" s="279"/>
      <c r="AH167" s="279"/>
    </row>
    <row r="168" spans="1:38" ht="14.45" customHeight="1">
      <c r="A168" s="2"/>
      <c r="B168" s="2"/>
      <c r="C168" s="2"/>
      <c r="D168" s="2"/>
      <c r="E168" s="2"/>
      <c r="F168" s="2"/>
      <c r="G168" s="2"/>
      <c r="H168" s="283" t="s">
        <v>65</v>
      </c>
      <c r="I168" s="283"/>
      <c r="J168" s="283"/>
      <c r="K168" s="283"/>
      <c r="L168" s="283"/>
      <c r="M168" s="283" t="s">
        <v>66</v>
      </c>
      <c r="N168" s="283"/>
      <c r="O168" s="283"/>
      <c r="P168" s="279">
        <v>49860000</v>
      </c>
      <c r="Q168" s="279"/>
      <c r="R168" s="279">
        <v>0</v>
      </c>
      <c r="S168" s="279"/>
      <c r="T168" s="279"/>
      <c r="U168" s="279"/>
      <c r="V168" s="7">
        <v>39676038</v>
      </c>
      <c r="W168" s="279">
        <v>0</v>
      </c>
      <c r="X168" s="279"/>
      <c r="Y168" s="279">
        <v>39676038</v>
      </c>
      <c r="Z168" s="279"/>
      <c r="AA168" s="279"/>
      <c r="AB168" s="282">
        <v>0.79574885679903729</v>
      </c>
      <c r="AC168" s="282"/>
      <c r="AD168" s="279">
        <v>10183962</v>
      </c>
      <c r="AE168" s="279"/>
      <c r="AF168" s="279"/>
      <c r="AG168" s="279"/>
      <c r="AH168" s="279"/>
    </row>
    <row r="169" spans="1:38" ht="14.45" customHeight="1">
      <c r="A169" s="2"/>
      <c r="B169" s="2"/>
      <c r="C169" s="2"/>
      <c r="D169" s="2"/>
      <c r="E169" s="2"/>
      <c r="F169" s="283" t="s">
        <v>169</v>
      </c>
      <c r="G169" s="283"/>
      <c r="H169" s="283"/>
      <c r="I169" s="283"/>
      <c r="J169" s="283"/>
      <c r="K169" s="283"/>
      <c r="L169" s="283" t="s">
        <v>170</v>
      </c>
      <c r="M169" s="283"/>
      <c r="N169" s="283"/>
      <c r="O169" s="283"/>
      <c r="P169" s="279">
        <v>38750000</v>
      </c>
      <c r="Q169" s="279"/>
      <c r="R169" s="279">
        <v>0</v>
      </c>
      <c r="S169" s="279"/>
      <c r="T169" s="279"/>
      <c r="U169" s="279"/>
      <c r="V169" s="7">
        <v>10159500</v>
      </c>
      <c r="W169" s="279">
        <v>0</v>
      </c>
      <c r="X169" s="279"/>
      <c r="Y169" s="279">
        <v>10159500</v>
      </c>
      <c r="Z169" s="279"/>
      <c r="AA169" s="279"/>
      <c r="AB169" s="282">
        <v>0.2621806451612903</v>
      </c>
      <c r="AC169" s="282"/>
      <c r="AD169" s="279">
        <v>28590500</v>
      </c>
      <c r="AE169" s="279"/>
      <c r="AF169" s="279"/>
      <c r="AG169" s="279"/>
      <c r="AH169" s="279"/>
    </row>
    <row r="170" spans="1:38" ht="14.45" customHeight="1">
      <c r="A170" s="2"/>
      <c r="B170" s="2"/>
      <c r="C170" s="2"/>
      <c r="D170" s="2"/>
      <c r="E170" s="2"/>
      <c r="F170" s="2"/>
      <c r="G170" s="2"/>
      <c r="H170" s="283" t="s">
        <v>82</v>
      </c>
      <c r="I170" s="283"/>
      <c r="J170" s="283"/>
      <c r="K170" s="283"/>
      <c r="L170" s="283"/>
      <c r="M170" s="283" t="s">
        <v>83</v>
      </c>
      <c r="N170" s="283"/>
      <c r="O170" s="283"/>
      <c r="P170" s="279">
        <v>20750000</v>
      </c>
      <c r="Q170" s="279"/>
      <c r="R170" s="279">
        <v>0</v>
      </c>
      <c r="S170" s="279"/>
      <c r="T170" s="279"/>
      <c r="U170" s="279"/>
      <c r="V170" s="7">
        <v>7179500</v>
      </c>
      <c r="W170" s="279">
        <v>0</v>
      </c>
      <c r="X170" s="279"/>
      <c r="Y170" s="279">
        <v>7179500</v>
      </c>
      <c r="Z170" s="279"/>
      <c r="AA170" s="279"/>
      <c r="AB170" s="282">
        <v>0.34599999999999997</v>
      </c>
      <c r="AC170" s="282"/>
      <c r="AD170" s="279">
        <v>13570500</v>
      </c>
      <c r="AE170" s="279"/>
      <c r="AF170" s="279"/>
      <c r="AG170" s="279"/>
      <c r="AH170" s="279"/>
    </row>
    <row r="171" spans="1:38" ht="14.45" customHeight="1">
      <c r="A171" s="2"/>
      <c r="B171" s="2"/>
      <c r="C171" s="2"/>
      <c r="D171" s="2"/>
      <c r="E171" s="2"/>
      <c r="F171" s="2"/>
      <c r="G171" s="2"/>
      <c r="H171" s="283" t="s">
        <v>67</v>
      </c>
      <c r="I171" s="283"/>
      <c r="J171" s="283"/>
      <c r="K171" s="283"/>
      <c r="L171" s="283"/>
      <c r="M171" s="283" t="s">
        <v>68</v>
      </c>
      <c r="N171" s="283"/>
      <c r="O171" s="283"/>
      <c r="P171" s="279">
        <v>18000000</v>
      </c>
      <c r="Q171" s="279"/>
      <c r="R171" s="279">
        <v>0</v>
      </c>
      <c r="S171" s="279"/>
      <c r="T171" s="279"/>
      <c r="U171" s="279"/>
      <c r="V171" s="7">
        <v>2980000</v>
      </c>
      <c r="W171" s="279">
        <v>0</v>
      </c>
      <c r="X171" s="279"/>
      <c r="Y171" s="279">
        <v>2980000</v>
      </c>
      <c r="Z171" s="279"/>
      <c r="AA171" s="279"/>
      <c r="AB171" s="282">
        <v>0.16555555555555557</v>
      </c>
      <c r="AC171" s="282"/>
      <c r="AD171" s="279">
        <v>15020000</v>
      </c>
      <c r="AE171" s="279"/>
      <c r="AF171" s="279"/>
      <c r="AG171" s="279"/>
      <c r="AH171" s="279"/>
    </row>
    <row r="172" spans="1:38" ht="14.45" customHeight="1">
      <c r="A172" s="2"/>
      <c r="B172" s="2"/>
      <c r="C172" s="297" t="s">
        <v>171</v>
      </c>
      <c r="D172" s="297"/>
      <c r="E172" s="297"/>
      <c r="F172" s="297"/>
      <c r="G172" s="297"/>
      <c r="H172" s="297"/>
      <c r="I172" s="297"/>
      <c r="J172" s="297"/>
      <c r="K172" s="297" t="s">
        <v>172</v>
      </c>
      <c r="L172" s="297"/>
      <c r="M172" s="297"/>
      <c r="N172" s="297"/>
      <c r="O172" s="297"/>
      <c r="P172" s="281">
        <v>11983476000</v>
      </c>
      <c r="Q172" s="281"/>
      <c r="R172" s="281">
        <v>0</v>
      </c>
      <c r="S172" s="281"/>
      <c r="T172" s="281"/>
      <c r="U172" s="281"/>
      <c r="V172" s="9">
        <v>4205051161</v>
      </c>
      <c r="W172" s="299">
        <v>512310264</v>
      </c>
      <c r="X172" s="299"/>
      <c r="Y172" s="281">
        <v>4717361425</v>
      </c>
      <c r="Z172" s="281"/>
      <c r="AA172" s="281"/>
      <c r="AB172" s="291">
        <v>0.39365551572849145</v>
      </c>
      <c r="AC172" s="291"/>
      <c r="AD172" s="281">
        <v>7266114575</v>
      </c>
      <c r="AE172" s="281"/>
      <c r="AF172" s="281"/>
      <c r="AG172" s="281"/>
      <c r="AH172" s="281"/>
    </row>
    <row r="173" spans="1:38" ht="14.45" customHeight="1">
      <c r="A173" s="2"/>
      <c r="B173" s="2"/>
      <c r="C173" s="2"/>
      <c r="D173" s="2"/>
      <c r="E173" s="286" t="s">
        <v>173</v>
      </c>
      <c r="F173" s="286"/>
      <c r="G173" s="286"/>
      <c r="H173" s="286"/>
      <c r="I173" s="286"/>
      <c r="J173" s="286" t="s">
        <v>174</v>
      </c>
      <c r="K173" s="286"/>
      <c r="L173" s="286"/>
      <c r="M173" s="286"/>
      <c r="N173" s="286"/>
      <c r="O173" s="286"/>
      <c r="P173" s="284">
        <v>8693395000</v>
      </c>
      <c r="Q173" s="284"/>
      <c r="R173" s="284">
        <v>0</v>
      </c>
      <c r="S173" s="284"/>
      <c r="T173" s="284"/>
      <c r="U173" s="284"/>
      <c r="V173" s="10">
        <v>3179883826</v>
      </c>
      <c r="W173" s="284">
        <v>512310264</v>
      </c>
      <c r="X173" s="284"/>
      <c r="Y173" s="284">
        <v>3692194090</v>
      </c>
      <c r="Z173" s="284"/>
      <c r="AA173" s="284"/>
      <c r="AB173" s="290">
        <v>0.4247125651140895</v>
      </c>
      <c r="AC173" s="290"/>
      <c r="AD173" s="284">
        <v>5001200910</v>
      </c>
      <c r="AE173" s="284"/>
      <c r="AF173" s="284"/>
      <c r="AG173" s="284"/>
      <c r="AH173" s="284"/>
      <c r="AI173" s="11"/>
      <c r="AJ173" s="11"/>
      <c r="AL173" s="12"/>
    </row>
    <row r="174" spans="1:38" ht="14.45" customHeight="1">
      <c r="A174" s="2"/>
      <c r="B174" s="2"/>
      <c r="C174" s="2"/>
      <c r="D174" s="2"/>
      <c r="E174" s="2"/>
      <c r="F174" s="283" t="s">
        <v>175</v>
      </c>
      <c r="G174" s="283"/>
      <c r="H174" s="283"/>
      <c r="I174" s="283"/>
      <c r="J174" s="283"/>
      <c r="K174" s="283"/>
      <c r="L174" s="283" t="s">
        <v>176</v>
      </c>
      <c r="M174" s="283"/>
      <c r="N174" s="283"/>
      <c r="O174" s="283"/>
      <c r="P174" s="279">
        <v>3796107000</v>
      </c>
      <c r="Q174" s="279"/>
      <c r="R174" s="279">
        <v>0</v>
      </c>
      <c r="S174" s="279"/>
      <c r="T174" s="279"/>
      <c r="U174" s="279"/>
      <c r="V174" s="7">
        <v>1414480172</v>
      </c>
      <c r="W174" s="279">
        <v>234900694</v>
      </c>
      <c r="X174" s="279"/>
      <c r="Y174" s="279">
        <v>1649380866</v>
      </c>
      <c r="Z174" s="279"/>
      <c r="AA174" s="279"/>
      <c r="AB174" s="282">
        <v>0.43449272267615219</v>
      </c>
      <c r="AC174" s="282"/>
      <c r="AD174" s="279">
        <v>2146726134</v>
      </c>
      <c r="AE174" s="279"/>
      <c r="AF174" s="279"/>
      <c r="AG174" s="279"/>
      <c r="AH174" s="279"/>
    </row>
    <row r="175" spans="1:38" ht="14.45" customHeight="1">
      <c r="A175" s="2"/>
      <c r="B175" s="2"/>
      <c r="C175" s="2"/>
      <c r="D175" s="2"/>
      <c r="E175" s="2"/>
      <c r="F175" s="2"/>
      <c r="G175" s="2"/>
      <c r="H175" s="283" t="s">
        <v>177</v>
      </c>
      <c r="I175" s="283"/>
      <c r="J175" s="283"/>
      <c r="K175" s="283"/>
      <c r="L175" s="283"/>
      <c r="M175" s="283" t="s">
        <v>178</v>
      </c>
      <c r="N175" s="283"/>
      <c r="O175" s="283"/>
      <c r="P175" s="279">
        <v>1364440000</v>
      </c>
      <c r="Q175" s="279"/>
      <c r="R175" s="279">
        <v>0</v>
      </c>
      <c r="S175" s="279"/>
      <c r="T175" s="279"/>
      <c r="U175" s="279"/>
      <c r="V175" s="7">
        <v>559871760</v>
      </c>
      <c r="W175" s="279">
        <v>182537520</v>
      </c>
      <c r="X175" s="279"/>
      <c r="Y175" s="279">
        <v>742409280</v>
      </c>
      <c r="Z175" s="279"/>
      <c r="AA175" s="279"/>
      <c r="AB175" s="282">
        <v>0.54411280818504293</v>
      </c>
      <c r="AC175" s="282"/>
      <c r="AD175" s="279">
        <v>622030720</v>
      </c>
      <c r="AE175" s="279"/>
      <c r="AF175" s="279"/>
      <c r="AG175" s="279"/>
      <c r="AH175" s="279"/>
    </row>
    <row r="176" spans="1:38" ht="14.45" customHeight="1">
      <c r="A176" s="2"/>
      <c r="B176" s="2"/>
      <c r="C176" s="2"/>
      <c r="D176" s="2"/>
      <c r="E176" s="2"/>
      <c r="F176" s="2"/>
      <c r="G176" s="2"/>
      <c r="H176" s="283" t="s">
        <v>179</v>
      </c>
      <c r="I176" s="283"/>
      <c r="J176" s="283"/>
      <c r="K176" s="283"/>
      <c r="L176" s="283"/>
      <c r="M176" s="283" t="s">
        <v>180</v>
      </c>
      <c r="N176" s="283"/>
      <c r="O176" s="283"/>
      <c r="P176" s="279">
        <v>19000</v>
      </c>
      <c r="Q176" s="279"/>
      <c r="R176" s="279">
        <v>0</v>
      </c>
      <c r="S176" s="279"/>
      <c r="T176" s="279"/>
      <c r="U176" s="279"/>
      <c r="V176" s="7">
        <v>7782</v>
      </c>
      <c r="W176" s="279">
        <v>2586</v>
      </c>
      <c r="X176" s="279"/>
      <c r="Y176" s="279">
        <v>10368</v>
      </c>
      <c r="Z176" s="279"/>
      <c r="AA176" s="279"/>
      <c r="AB176" s="282">
        <v>0.54568421052631577</v>
      </c>
      <c r="AC176" s="282"/>
      <c r="AD176" s="279">
        <v>8632</v>
      </c>
      <c r="AE176" s="279"/>
      <c r="AF176" s="279"/>
      <c r="AG176" s="279"/>
      <c r="AH176" s="279"/>
    </row>
    <row r="177" spans="1:34" ht="14.45" customHeight="1">
      <c r="A177" s="2"/>
      <c r="B177" s="2"/>
      <c r="C177" s="2"/>
      <c r="D177" s="2"/>
      <c r="E177" s="2"/>
      <c r="F177" s="2"/>
      <c r="G177" s="2"/>
      <c r="H177" s="283" t="s">
        <v>181</v>
      </c>
      <c r="I177" s="283"/>
      <c r="J177" s="283"/>
      <c r="K177" s="283"/>
      <c r="L177" s="283"/>
      <c r="M177" s="283" t="s">
        <v>182</v>
      </c>
      <c r="N177" s="283"/>
      <c r="O177" s="283"/>
      <c r="P177" s="279">
        <v>91257000</v>
      </c>
      <c r="Q177" s="279"/>
      <c r="R177" s="279">
        <v>0</v>
      </c>
      <c r="S177" s="279"/>
      <c r="T177" s="279"/>
      <c r="U177" s="279"/>
      <c r="V177" s="7">
        <v>39385066</v>
      </c>
      <c r="W177" s="279">
        <v>13067572</v>
      </c>
      <c r="X177" s="279"/>
      <c r="Y177" s="279">
        <v>52452638</v>
      </c>
      <c r="Z177" s="279"/>
      <c r="AA177" s="279"/>
      <c r="AB177" s="282">
        <v>0.57477933747548138</v>
      </c>
      <c r="AC177" s="282"/>
      <c r="AD177" s="279">
        <v>38804362</v>
      </c>
      <c r="AE177" s="279"/>
      <c r="AF177" s="279"/>
      <c r="AG177" s="279"/>
      <c r="AH177" s="279"/>
    </row>
    <row r="178" spans="1:34" ht="14.45" customHeight="1">
      <c r="A178" s="2"/>
      <c r="B178" s="2"/>
      <c r="C178" s="2"/>
      <c r="D178" s="2"/>
      <c r="E178" s="2"/>
      <c r="F178" s="2"/>
      <c r="G178" s="2"/>
      <c r="H178" s="283" t="s">
        <v>183</v>
      </c>
      <c r="I178" s="283"/>
      <c r="J178" s="283"/>
      <c r="K178" s="283"/>
      <c r="L178" s="283"/>
      <c r="M178" s="283" t="s">
        <v>184</v>
      </c>
      <c r="N178" s="283"/>
      <c r="O178" s="283"/>
      <c r="P178" s="279">
        <v>30547000</v>
      </c>
      <c r="Q178" s="279"/>
      <c r="R178" s="279">
        <v>0</v>
      </c>
      <c r="S178" s="279"/>
      <c r="T178" s="279"/>
      <c r="U178" s="279"/>
      <c r="V178" s="7">
        <v>13337074</v>
      </c>
      <c r="W178" s="279">
        <v>4474242</v>
      </c>
      <c r="X178" s="279"/>
      <c r="Y178" s="279">
        <v>17811316</v>
      </c>
      <c r="Z178" s="279"/>
      <c r="AA178" s="279"/>
      <c r="AB178" s="282">
        <v>0.5830790585000164</v>
      </c>
      <c r="AC178" s="282"/>
      <c r="AD178" s="279">
        <v>12735684</v>
      </c>
      <c r="AE178" s="279"/>
      <c r="AF178" s="279"/>
      <c r="AG178" s="279"/>
      <c r="AH178" s="279"/>
    </row>
    <row r="179" spans="1:34" ht="14.45" customHeight="1">
      <c r="A179" s="2"/>
      <c r="B179" s="2"/>
      <c r="C179" s="2"/>
      <c r="D179" s="2"/>
      <c r="E179" s="2"/>
      <c r="F179" s="2"/>
      <c r="G179" s="2"/>
      <c r="H179" s="283" t="s">
        <v>185</v>
      </c>
      <c r="I179" s="283"/>
      <c r="J179" s="283"/>
      <c r="K179" s="283"/>
      <c r="L179" s="283"/>
      <c r="M179" s="283" t="s">
        <v>186</v>
      </c>
      <c r="N179" s="283"/>
      <c r="O179" s="283"/>
      <c r="P179" s="279">
        <v>25200000</v>
      </c>
      <c r="Q179" s="279"/>
      <c r="R179" s="279">
        <v>0</v>
      </c>
      <c r="S179" s="279"/>
      <c r="T179" s="279"/>
      <c r="U179" s="279"/>
      <c r="V179" s="7">
        <v>10800000</v>
      </c>
      <c r="W179" s="279">
        <v>3600000</v>
      </c>
      <c r="X179" s="279"/>
      <c r="Y179" s="279">
        <v>14400000</v>
      </c>
      <c r="Z179" s="279"/>
      <c r="AA179" s="279"/>
      <c r="AB179" s="282">
        <v>0.5714285714285714</v>
      </c>
      <c r="AC179" s="282"/>
      <c r="AD179" s="279">
        <v>10800000</v>
      </c>
      <c r="AE179" s="279"/>
      <c r="AF179" s="279"/>
      <c r="AG179" s="279"/>
      <c r="AH179" s="279"/>
    </row>
    <row r="180" spans="1:34" ht="14.45" customHeight="1">
      <c r="A180" s="2"/>
      <c r="B180" s="2"/>
      <c r="C180" s="2"/>
      <c r="D180" s="2"/>
      <c r="E180" s="2"/>
      <c r="F180" s="2"/>
      <c r="G180" s="2"/>
      <c r="H180" s="283" t="s">
        <v>187</v>
      </c>
      <c r="I180" s="283"/>
      <c r="J180" s="283"/>
      <c r="K180" s="283"/>
      <c r="L180" s="283"/>
      <c r="M180" s="283" t="s">
        <v>188</v>
      </c>
      <c r="N180" s="283"/>
      <c r="O180" s="283"/>
      <c r="P180" s="279">
        <v>91820000</v>
      </c>
      <c r="Q180" s="279"/>
      <c r="R180" s="279">
        <v>0</v>
      </c>
      <c r="S180" s="279"/>
      <c r="T180" s="279"/>
      <c r="U180" s="279"/>
      <c r="V180" s="7">
        <v>39940000</v>
      </c>
      <c r="W180" s="279">
        <v>12970000</v>
      </c>
      <c r="X180" s="279"/>
      <c r="Y180" s="279">
        <v>52910000</v>
      </c>
      <c r="Z180" s="279"/>
      <c r="AA180" s="279"/>
      <c r="AB180" s="282">
        <v>0.57623611413635378</v>
      </c>
      <c r="AC180" s="282"/>
      <c r="AD180" s="279">
        <v>38910000</v>
      </c>
      <c r="AE180" s="279"/>
      <c r="AF180" s="279"/>
      <c r="AG180" s="279"/>
      <c r="AH180" s="279"/>
    </row>
    <row r="181" spans="1:34" ht="14.45" customHeight="1">
      <c r="A181" s="2"/>
      <c r="B181" s="2"/>
      <c r="C181" s="2"/>
      <c r="D181" s="2"/>
      <c r="E181" s="2"/>
      <c r="F181" s="2"/>
      <c r="G181" s="2"/>
      <c r="H181" s="283" t="s">
        <v>189</v>
      </c>
      <c r="I181" s="283"/>
      <c r="J181" s="283"/>
      <c r="K181" s="283"/>
      <c r="L181" s="283"/>
      <c r="M181" s="283" t="s">
        <v>190</v>
      </c>
      <c r="N181" s="283"/>
      <c r="O181" s="283"/>
      <c r="P181" s="279">
        <v>5900000</v>
      </c>
      <c r="Q181" s="279"/>
      <c r="R181" s="279">
        <v>0</v>
      </c>
      <c r="S181" s="279"/>
      <c r="T181" s="279"/>
      <c r="U181" s="279"/>
      <c r="V181" s="7">
        <v>4648627</v>
      </c>
      <c r="W181" s="279">
        <v>4085774</v>
      </c>
      <c r="X181" s="279"/>
      <c r="Y181" s="279">
        <v>8734401</v>
      </c>
      <c r="Z181" s="279"/>
      <c r="AA181" s="279"/>
      <c r="AB181" s="282">
        <v>1.4804069491525425</v>
      </c>
      <c r="AC181" s="282"/>
      <c r="AD181" s="279">
        <v>-2834401</v>
      </c>
      <c r="AE181" s="279"/>
      <c r="AF181" s="279"/>
      <c r="AG181" s="279"/>
      <c r="AH181" s="279"/>
    </row>
    <row r="182" spans="1:34" ht="14.45" customHeight="1">
      <c r="A182" s="2"/>
      <c r="B182" s="2"/>
      <c r="C182" s="2"/>
      <c r="D182" s="2"/>
      <c r="E182" s="2"/>
      <c r="F182" s="2"/>
      <c r="G182" s="2"/>
      <c r="H182" s="283" t="s">
        <v>191</v>
      </c>
      <c r="I182" s="283"/>
      <c r="J182" s="283"/>
      <c r="K182" s="283"/>
      <c r="L182" s="283"/>
      <c r="M182" s="283" t="s">
        <v>192</v>
      </c>
      <c r="N182" s="283"/>
      <c r="O182" s="283"/>
      <c r="P182" s="279">
        <v>76331000</v>
      </c>
      <c r="Q182" s="279"/>
      <c r="R182" s="279">
        <v>0</v>
      </c>
      <c r="S182" s="279"/>
      <c r="T182" s="279"/>
      <c r="U182" s="279"/>
      <c r="V182" s="7">
        <v>32878680</v>
      </c>
      <c r="W182" s="279">
        <v>10863000</v>
      </c>
      <c r="X182" s="279"/>
      <c r="Y182" s="279">
        <v>43741680</v>
      </c>
      <c r="Z182" s="279"/>
      <c r="AA182" s="279"/>
      <c r="AB182" s="282">
        <v>0.57305262606280538</v>
      </c>
      <c r="AC182" s="282"/>
      <c r="AD182" s="279">
        <v>32589320</v>
      </c>
      <c r="AE182" s="279"/>
      <c r="AF182" s="279"/>
      <c r="AG182" s="279"/>
      <c r="AH182" s="279"/>
    </row>
    <row r="183" spans="1:34" ht="14.45" customHeight="1">
      <c r="A183" s="2"/>
      <c r="B183" s="2"/>
      <c r="C183" s="2"/>
      <c r="D183" s="2"/>
      <c r="E183" s="2"/>
      <c r="F183" s="2"/>
      <c r="G183" s="2"/>
      <c r="H183" s="283" t="s">
        <v>193</v>
      </c>
      <c r="I183" s="283"/>
      <c r="J183" s="283"/>
      <c r="K183" s="283"/>
      <c r="L183" s="283"/>
      <c r="M183" s="283" t="s">
        <v>194</v>
      </c>
      <c r="N183" s="283"/>
      <c r="O183" s="283"/>
      <c r="P183" s="279">
        <v>223100000</v>
      </c>
      <c r="Q183" s="279"/>
      <c r="R183" s="279">
        <v>0</v>
      </c>
      <c r="S183" s="279"/>
      <c r="T183" s="279"/>
      <c r="U183" s="279"/>
      <c r="V183" s="7">
        <v>62346000</v>
      </c>
      <c r="W183" s="279">
        <v>0</v>
      </c>
      <c r="X183" s="279"/>
      <c r="Y183" s="279">
        <v>62346000</v>
      </c>
      <c r="Z183" s="279"/>
      <c r="AA183" s="279"/>
      <c r="AB183" s="282">
        <v>0.27945316001792919</v>
      </c>
      <c r="AC183" s="282"/>
      <c r="AD183" s="279">
        <v>160754000</v>
      </c>
      <c r="AE183" s="279"/>
      <c r="AF183" s="279"/>
      <c r="AG183" s="279"/>
      <c r="AH183" s="279"/>
    </row>
    <row r="184" spans="1:34" ht="14.45" customHeight="1">
      <c r="A184" s="2"/>
      <c r="B184" s="2"/>
      <c r="C184" s="2"/>
      <c r="D184" s="2"/>
      <c r="E184" s="2"/>
      <c r="F184" s="2"/>
      <c r="G184" s="2"/>
      <c r="H184" s="283" t="s">
        <v>195</v>
      </c>
      <c r="I184" s="283"/>
      <c r="J184" s="283"/>
      <c r="K184" s="283"/>
      <c r="L184" s="283"/>
      <c r="M184" s="283" t="s">
        <v>196</v>
      </c>
      <c r="N184" s="283"/>
      <c r="O184" s="283"/>
      <c r="P184" s="279">
        <v>22730000</v>
      </c>
      <c r="Q184" s="279"/>
      <c r="R184" s="279">
        <v>0</v>
      </c>
      <c r="S184" s="279"/>
      <c r="T184" s="279"/>
      <c r="U184" s="279"/>
      <c r="V184" s="7">
        <v>9530000</v>
      </c>
      <c r="W184" s="279">
        <v>3300000</v>
      </c>
      <c r="X184" s="279"/>
      <c r="Y184" s="279">
        <v>12830000</v>
      </c>
      <c r="Z184" s="279"/>
      <c r="AA184" s="279"/>
      <c r="AB184" s="282">
        <v>0.56445226572811258</v>
      </c>
      <c r="AC184" s="282"/>
      <c r="AD184" s="279">
        <v>9900000</v>
      </c>
      <c r="AE184" s="279"/>
      <c r="AF184" s="279"/>
      <c r="AG184" s="279"/>
      <c r="AH184" s="279"/>
    </row>
    <row r="185" spans="1:34" ht="14.45" customHeight="1">
      <c r="A185" s="2"/>
      <c r="B185" s="2"/>
      <c r="C185" s="2"/>
      <c r="D185" s="2"/>
      <c r="E185" s="2"/>
      <c r="F185" s="2"/>
      <c r="G185" s="2"/>
      <c r="H185" s="283" t="s">
        <v>197</v>
      </c>
      <c r="I185" s="283"/>
      <c r="J185" s="283"/>
      <c r="K185" s="283"/>
      <c r="L185" s="283"/>
      <c r="M185" s="283" t="s">
        <v>198</v>
      </c>
      <c r="N185" s="283"/>
      <c r="O185" s="283"/>
      <c r="P185" s="279">
        <v>50000000</v>
      </c>
      <c r="Q185" s="279"/>
      <c r="R185" s="279">
        <v>0</v>
      </c>
      <c r="S185" s="279"/>
      <c r="T185" s="279"/>
      <c r="U185" s="279"/>
      <c r="V185" s="7">
        <v>0</v>
      </c>
      <c r="W185" s="279">
        <v>0</v>
      </c>
      <c r="X185" s="279"/>
      <c r="Y185" s="279">
        <v>0</v>
      </c>
      <c r="Z185" s="279"/>
      <c r="AA185" s="279"/>
      <c r="AB185" s="282">
        <v>0</v>
      </c>
      <c r="AC185" s="282"/>
      <c r="AD185" s="279">
        <v>50000000</v>
      </c>
      <c r="AE185" s="279"/>
      <c r="AF185" s="279"/>
      <c r="AG185" s="279"/>
      <c r="AH185" s="279"/>
    </row>
    <row r="186" spans="1:34" ht="14.45" customHeight="1">
      <c r="A186" s="2"/>
      <c r="B186" s="2"/>
      <c r="C186" s="2"/>
      <c r="D186" s="2"/>
      <c r="E186" s="2"/>
      <c r="F186" s="2"/>
      <c r="G186" s="2"/>
      <c r="H186" s="283" t="s">
        <v>199</v>
      </c>
      <c r="I186" s="283"/>
      <c r="J186" s="283"/>
      <c r="K186" s="283"/>
      <c r="L186" s="283"/>
      <c r="M186" s="283" t="s">
        <v>200</v>
      </c>
      <c r="N186" s="283"/>
      <c r="O186" s="283"/>
      <c r="P186" s="279">
        <v>1814763000</v>
      </c>
      <c r="Q186" s="279"/>
      <c r="R186" s="279">
        <v>0</v>
      </c>
      <c r="S186" s="279"/>
      <c r="T186" s="279"/>
      <c r="U186" s="279"/>
      <c r="V186" s="7">
        <v>641735183</v>
      </c>
      <c r="W186" s="279">
        <v>0</v>
      </c>
      <c r="X186" s="279"/>
      <c r="Y186" s="279">
        <v>641735183</v>
      </c>
      <c r="Z186" s="279"/>
      <c r="AA186" s="279"/>
      <c r="AB186" s="282">
        <v>0.35361927866062953</v>
      </c>
      <c r="AC186" s="282"/>
      <c r="AD186" s="279">
        <v>1173027817</v>
      </c>
      <c r="AE186" s="279"/>
      <c r="AF186" s="279"/>
      <c r="AG186" s="279"/>
      <c r="AH186" s="279"/>
    </row>
    <row r="187" spans="1:34" ht="14.45" customHeight="1">
      <c r="A187" s="2"/>
      <c r="B187" s="2"/>
      <c r="C187" s="2"/>
      <c r="D187" s="2"/>
      <c r="E187" s="2"/>
      <c r="F187" s="283" t="s">
        <v>201</v>
      </c>
      <c r="G187" s="283"/>
      <c r="H187" s="283"/>
      <c r="I187" s="283"/>
      <c r="J187" s="283"/>
      <c r="K187" s="283"/>
      <c r="L187" s="283" t="s">
        <v>202</v>
      </c>
      <c r="M187" s="283"/>
      <c r="N187" s="283"/>
      <c r="O187" s="283"/>
      <c r="P187" s="279">
        <v>4897288000</v>
      </c>
      <c r="Q187" s="279"/>
      <c r="R187" s="279">
        <v>0</v>
      </c>
      <c r="S187" s="279"/>
      <c r="T187" s="279"/>
      <c r="U187" s="279"/>
      <c r="V187" s="7">
        <v>1765403654</v>
      </c>
      <c r="W187" s="279">
        <v>277409570</v>
      </c>
      <c r="X187" s="279"/>
      <c r="Y187" s="279">
        <v>2042813224</v>
      </c>
      <c r="Z187" s="279"/>
      <c r="AA187" s="279"/>
      <c r="AB187" s="282">
        <v>0.41713152749031707</v>
      </c>
      <c r="AC187" s="282"/>
      <c r="AD187" s="279">
        <v>2854474776</v>
      </c>
      <c r="AE187" s="279"/>
      <c r="AF187" s="279"/>
      <c r="AG187" s="279"/>
      <c r="AH187" s="279"/>
    </row>
    <row r="188" spans="1:34" ht="14.45" customHeight="1">
      <c r="A188" s="2"/>
      <c r="B188" s="2"/>
      <c r="C188" s="2"/>
      <c r="D188" s="2"/>
      <c r="E188" s="2"/>
      <c r="F188" s="2"/>
      <c r="G188" s="2"/>
      <c r="H188" s="283" t="s">
        <v>181</v>
      </c>
      <c r="I188" s="283"/>
      <c r="J188" s="283"/>
      <c r="K188" s="283"/>
      <c r="L188" s="283"/>
      <c r="M188" s="283" t="s">
        <v>182</v>
      </c>
      <c r="N188" s="283"/>
      <c r="O188" s="283"/>
      <c r="P188" s="279">
        <v>130195000</v>
      </c>
      <c r="Q188" s="279"/>
      <c r="R188" s="279">
        <v>0</v>
      </c>
      <c r="S188" s="279"/>
      <c r="T188" s="279"/>
      <c r="U188" s="279"/>
      <c r="V188" s="7">
        <v>52286918</v>
      </c>
      <c r="W188" s="279">
        <v>15924372</v>
      </c>
      <c r="X188" s="279"/>
      <c r="Y188" s="279">
        <v>68211290</v>
      </c>
      <c r="Z188" s="279"/>
      <c r="AA188" s="279"/>
      <c r="AB188" s="282">
        <v>0.52391635623487842</v>
      </c>
      <c r="AC188" s="282"/>
      <c r="AD188" s="279">
        <v>61983710</v>
      </c>
      <c r="AE188" s="279"/>
      <c r="AF188" s="279"/>
      <c r="AG188" s="279"/>
      <c r="AH188" s="279"/>
    </row>
    <row r="189" spans="1:34" ht="14.45" customHeight="1">
      <c r="A189" s="2"/>
      <c r="B189" s="2"/>
      <c r="C189" s="2"/>
      <c r="D189" s="2"/>
      <c r="E189" s="2"/>
      <c r="F189" s="2"/>
      <c r="G189" s="2"/>
      <c r="H189" s="283" t="s">
        <v>203</v>
      </c>
      <c r="I189" s="283"/>
      <c r="J189" s="283"/>
      <c r="K189" s="283"/>
      <c r="L189" s="283"/>
      <c r="M189" s="283" t="s">
        <v>204</v>
      </c>
      <c r="N189" s="283"/>
      <c r="O189" s="283"/>
      <c r="P189" s="279">
        <v>1794423000</v>
      </c>
      <c r="Q189" s="279"/>
      <c r="R189" s="279">
        <v>0</v>
      </c>
      <c r="S189" s="279"/>
      <c r="T189" s="279"/>
      <c r="U189" s="279"/>
      <c r="V189" s="7">
        <v>726719817</v>
      </c>
      <c r="W189" s="279">
        <v>224607317</v>
      </c>
      <c r="X189" s="279"/>
      <c r="Y189" s="279">
        <v>951327134</v>
      </c>
      <c r="Z189" s="279"/>
      <c r="AA189" s="279"/>
      <c r="AB189" s="282">
        <v>0.53015767965524296</v>
      </c>
      <c r="AC189" s="282"/>
      <c r="AD189" s="279">
        <v>843095866</v>
      </c>
      <c r="AE189" s="279"/>
      <c r="AF189" s="279"/>
      <c r="AG189" s="279"/>
      <c r="AH189" s="279"/>
    </row>
    <row r="190" spans="1:34" ht="14.45" customHeight="1">
      <c r="A190" s="2"/>
      <c r="B190" s="2"/>
      <c r="C190" s="2"/>
      <c r="D190" s="2"/>
      <c r="E190" s="2"/>
      <c r="F190" s="2"/>
      <c r="G190" s="2"/>
      <c r="H190" s="283" t="s">
        <v>205</v>
      </c>
      <c r="I190" s="283"/>
      <c r="J190" s="283"/>
      <c r="K190" s="283"/>
      <c r="L190" s="283"/>
      <c r="M190" s="283" t="s">
        <v>206</v>
      </c>
      <c r="N190" s="283"/>
      <c r="O190" s="283"/>
      <c r="P190" s="279">
        <v>40000</v>
      </c>
      <c r="Q190" s="279"/>
      <c r="R190" s="279">
        <v>0</v>
      </c>
      <c r="S190" s="279"/>
      <c r="T190" s="279"/>
      <c r="U190" s="279"/>
      <c r="V190" s="7">
        <v>16454</v>
      </c>
      <c r="W190" s="279">
        <v>5010</v>
      </c>
      <c r="X190" s="279"/>
      <c r="Y190" s="279">
        <v>21464</v>
      </c>
      <c r="Z190" s="279"/>
      <c r="AA190" s="279"/>
      <c r="AB190" s="282">
        <v>0.53659999999999997</v>
      </c>
      <c r="AC190" s="282"/>
      <c r="AD190" s="279">
        <v>18536</v>
      </c>
      <c r="AE190" s="279"/>
      <c r="AF190" s="279"/>
      <c r="AG190" s="279"/>
      <c r="AH190" s="279"/>
    </row>
    <row r="191" spans="1:34" ht="24" customHeight="1">
      <c r="A191" s="2"/>
      <c r="B191" s="294" t="s">
        <v>92</v>
      </c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  <c r="AC191" s="294"/>
      <c r="AD191" s="294"/>
      <c r="AE191" s="294"/>
      <c r="AF191" s="2"/>
      <c r="AG191" s="2"/>
      <c r="AH191" s="2"/>
    </row>
    <row r="192" spans="1:34" ht="14.45" customHeight="1">
      <c r="A192" s="2"/>
      <c r="B192" s="2"/>
      <c r="C192" s="2"/>
      <c r="D192" s="2"/>
      <c r="E192" s="2"/>
      <c r="F192" s="2"/>
      <c r="G192" s="2"/>
      <c r="H192" s="283" t="s">
        <v>207</v>
      </c>
      <c r="I192" s="283"/>
      <c r="J192" s="283"/>
      <c r="K192" s="283"/>
      <c r="L192" s="283"/>
      <c r="M192" s="283" t="s">
        <v>208</v>
      </c>
      <c r="N192" s="283"/>
      <c r="O192" s="283"/>
      <c r="P192" s="279">
        <v>35961000</v>
      </c>
      <c r="Q192" s="279"/>
      <c r="R192" s="279">
        <v>0</v>
      </c>
      <c r="S192" s="279"/>
      <c r="T192" s="279"/>
      <c r="U192" s="279"/>
      <c r="V192" s="7">
        <v>14693119</v>
      </c>
      <c r="W192" s="279">
        <v>4642085</v>
      </c>
      <c r="X192" s="279"/>
      <c r="Y192" s="279">
        <v>19335204</v>
      </c>
      <c r="Z192" s="279"/>
      <c r="AA192" s="279"/>
      <c r="AB192" s="282">
        <v>0.53767147743388666</v>
      </c>
      <c r="AC192" s="282"/>
      <c r="AD192" s="279">
        <v>16625796</v>
      </c>
      <c r="AE192" s="279"/>
      <c r="AF192" s="279"/>
      <c r="AG192" s="279"/>
      <c r="AH192" s="279"/>
    </row>
    <row r="193" spans="1:38" ht="14.45" customHeight="1">
      <c r="A193" s="2"/>
      <c r="B193" s="2"/>
      <c r="C193" s="2"/>
      <c r="D193" s="2"/>
      <c r="E193" s="2"/>
      <c r="F193" s="2"/>
      <c r="G193" s="2"/>
      <c r="H193" s="283" t="s">
        <v>209</v>
      </c>
      <c r="I193" s="283"/>
      <c r="J193" s="283"/>
      <c r="K193" s="283"/>
      <c r="L193" s="283"/>
      <c r="M193" s="283" t="s">
        <v>210</v>
      </c>
      <c r="N193" s="283"/>
      <c r="O193" s="283"/>
      <c r="P193" s="279">
        <v>7980000</v>
      </c>
      <c r="Q193" s="279"/>
      <c r="R193" s="279">
        <v>0</v>
      </c>
      <c r="S193" s="279"/>
      <c r="T193" s="279"/>
      <c r="U193" s="279"/>
      <c r="V193" s="7">
        <v>3420000</v>
      </c>
      <c r="W193" s="279">
        <v>1140000</v>
      </c>
      <c r="X193" s="279"/>
      <c r="Y193" s="279">
        <v>4560000</v>
      </c>
      <c r="Z193" s="279"/>
      <c r="AA193" s="279"/>
      <c r="AB193" s="282">
        <v>0.5714285714285714</v>
      </c>
      <c r="AC193" s="282"/>
      <c r="AD193" s="279">
        <v>3420000</v>
      </c>
      <c r="AE193" s="279"/>
      <c r="AF193" s="279"/>
      <c r="AG193" s="279"/>
      <c r="AH193" s="279"/>
    </row>
    <row r="194" spans="1:38" ht="14.45" customHeight="1">
      <c r="A194" s="2"/>
      <c r="B194" s="2"/>
      <c r="C194" s="2"/>
      <c r="D194" s="2"/>
      <c r="E194" s="2"/>
      <c r="F194" s="2"/>
      <c r="G194" s="2"/>
      <c r="H194" s="283" t="s">
        <v>211</v>
      </c>
      <c r="I194" s="283"/>
      <c r="J194" s="283"/>
      <c r="K194" s="283"/>
      <c r="L194" s="283"/>
      <c r="M194" s="283" t="s">
        <v>212</v>
      </c>
      <c r="N194" s="283"/>
      <c r="O194" s="283"/>
      <c r="P194" s="279">
        <v>132469000</v>
      </c>
      <c r="Q194" s="279"/>
      <c r="R194" s="279">
        <v>0</v>
      </c>
      <c r="S194" s="279"/>
      <c r="T194" s="279"/>
      <c r="U194" s="279"/>
      <c r="V194" s="7">
        <v>53675290</v>
      </c>
      <c r="W194" s="279">
        <v>16632460</v>
      </c>
      <c r="X194" s="279"/>
      <c r="Y194" s="279">
        <v>70307750</v>
      </c>
      <c r="Z194" s="279"/>
      <c r="AA194" s="279"/>
      <c r="AB194" s="282">
        <v>0.53074870347024583</v>
      </c>
      <c r="AC194" s="282"/>
      <c r="AD194" s="279">
        <v>62161250</v>
      </c>
      <c r="AE194" s="279"/>
      <c r="AF194" s="279"/>
      <c r="AG194" s="279"/>
      <c r="AH194" s="279"/>
    </row>
    <row r="195" spans="1:38" ht="14.45" customHeight="1">
      <c r="A195" s="2"/>
      <c r="B195" s="2"/>
      <c r="C195" s="2"/>
      <c r="D195" s="2"/>
      <c r="E195" s="2"/>
      <c r="F195" s="2"/>
      <c r="G195" s="2"/>
      <c r="H195" s="283" t="s">
        <v>213</v>
      </c>
      <c r="I195" s="283"/>
      <c r="J195" s="283"/>
      <c r="K195" s="283"/>
      <c r="L195" s="283"/>
      <c r="M195" s="283" t="s">
        <v>214</v>
      </c>
      <c r="N195" s="283"/>
      <c r="O195" s="283"/>
      <c r="P195" s="279">
        <v>447916000</v>
      </c>
      <c r="Q195" s="279"/>
      <c r="R195" s="279">
        <v>0</v>
      </c>
      <c r="S195" s="279"/>
      <c r="T195" s="279"/>
      <c r="U195" s="279"/>
      <c r="V195" s="7">
        <v>129159000</v>
      </c>
      <c r="W195" s="279">
        <v>0</v>
      </c>
      <c r="X195" s="279"/>
      <c r="Y195" s="279">
        <v>129159000</v>
      </c>
      <c r="Z195" s="279"/>
      <c r="AA195" s="279"/>
      <c r="AB195" s="282">
        <v>0.28835540592432507</v>
      </c>
      <c r="AC195" s="282"/>
      <c r="AD195" s="279">
        <v>318757000</v>
      </c>
      <c r="AE195" s="279"/>
      <c r="AF195" s="279"/>
      <c r="AG195" s="279"/>
      <c r="AH195" s="279"/>
    </row>
    <row r="196" spans="1:38" ht="14.45" customHeight="1">
      <c r="A196" s="2"/>
      <c r="B196" s="2"/>
      <c r="C196" s="2"/>
      <c r="D196" s="2"/>
      <c r="E196" s="2"/>
      <c r="F196" s="2"/>
      <c r="G196" s="2"/>
      <c r="H196" s="283" t="s">
        <v>215</v>
      </c>
      <c r="I196" s="283"/>
      <c r="J196" s="283"/>
      <c r="K196" s="283"/>
      <c r="L196" s="283"/>
      <c r="M196" s="283" t="s">
        <v>216</v>
      </c>
      <c r="N196" s="283"/>
      <c r="O196" s="283"/>
      <c r="P196" s="279">
        <v>116390000</v>
      </c>
      <c r="Q196" s="279"/>
      <c r="R196" s="279">
        <v>0</v>
      </c>
      <c r="S196" s="279"/>
      <c r="T196" s="279"/>
      <c r="U196" s="279"/>
      <c r="V196" s="7">
        <v>46989576</v>
      </c>
      <c r="W196" s="279">
        <v>14458326</v>
      </c>
      <c r="X196" s="279"/>
      <c r="Y196" s="279">
        <v>61447902</v>
      </c>
      <c r="Z196" s="279"/>
      <c r="AA196" s="279"/>
      <c r="AB196" s="282">
        <v>0.52794829452702119</v>
      </c>
      <c r="AC196" s="282"/>
      <c r="AD196" s="279">
        <v>54942098</v>
      </c>
      <c r="AE196" s="279"/>
      <c r="AF196" s="279"/>
      <c r="AG196" s="279"/>
      <c r="AH196" s="279"/>
    </row>
    <row r="197" spans="1:38" ht="14.45" customHeight="1">
      <c r="A197" s="2"/>
      <c r="B197" s="2"/>
      <c r="C197" s="2"/>
      <c r="D197" s="2"/>
      <c r="E197" s="2"/>
      <c r="F197" s="2"/>
      <c r="G197" s="2"/>
      <c r="H197" s="283" t="s">
        <v>217</v>
      </c>
      <c r="I197" s="283"/>
      <c r="J197" s="283"/>
      <c r="K197" s="283"/>
      <c r="L197" s="283"/>
      <c r="M197" s="283" t="s">
        <v>218</v>
      </c>
      <c r="N197" s="283"/>
      <c r="O197" s="283"/>
      <c r="P197" s="279">
        <v>2231914000</v>
      </c>
      <c r="Q197" s="279"/>
      <c r="R197" s="279">
        <v>0</v>
      </c>
      <c r="S197" s="279"/>
      <c r="T197" s="279"/>
      <c r="U197" s="279"/>
      <c r="V197" s="7">
        <v>738443480</v>
      </c>
      <c r="W197" s="279">
        <v>0</v>
      </c>
      <c r="X197" s="279"/>
      <c r="Y197" s="279">
        <v>738443480</v>
      </c>
      <c r="Z197" s="279"/>
      <c r="AA197" s="279"/>
      <c r="AB197" s="282">
        <v>0.33085660110559817</v>
      </c>
      <c r="AC197" s="282"/>
      <c r="AD197" s="279">
        <v>1493470520</v>
      </c>
      <c r="AE197" s="279"/>
      <c r="AF197" s="279"/>
      <c r="AG197" s="279"/>
      <c r="AH197" s="279"/>
    </row>
    <row r="198" spans="1:38" ht="14.45" customHeight="1">
      <c r="A198" s="2"/>
      <c r="B198" s="2"/>
      <c r="C198" s="2"/>
      <c r="D198" s="2"/>
      <c r="E198" s="286" t="s">
        <v>219</v>
      </c>
      <c r="F198" s="286"/>
      <c r="G198" s="286"/>
      <c r="H198" s="286"/>
      <c r="I198" s="286"/>
      <c r="J198" s="286" t="s">
        <v>220</v>
      </c>
      <c r="K198" s="286"/>
      <c r="L198" s="286"/>
      <c r="M198" s="286"/>
      <c r="N198" s="286"/>
      <c r="O198" s="286"/>
      <c r="P198" s="284">
        <v>3290081000</v>
      </c>
      <c r="Q198" s="284"/>
      <c r="R198" s="284">
        <v>0</v>
      </c>
      <c r="S198" s="284"/>
      <c r="T198" s="284"/>
      <c r="U198" s="284"/>
      <c r="V198" s="10">
        <v>1025167335</v>
      </c>
      <c r="W198" s="284">
        <v>0</v>
      </c>
      <c r="X198" s="284"/>
      <c r="Y198" s="284">
        <v>1025167335</v>
      </c>
      <c r="Z198" s="284"/>
      <c r="AA198" s="284"/>
      <c r="AB198" s="290">
        <v>0.311593342230784</v>
      </c>
      <c r="AC198" s="290"/>
      <c r="AD198" s="284">
        <v>2264913665</v>
      </c>
      <c r="AE198" s="284"/>
      <c r="AF198" s="284"/>
      <c r="AG198" s="284"/>
      <c r="AH198" s="284"/>
      <c r="AI198" s="11"/>
      <c r="AJ198" s="11"/>
      <c r="AL198" s="12"/>
    </row>
    <row r="199" spans="1:38" ht="14.45" customHeight="1">
      <c r="A199" s="2"/>
      <c r="B199" s="2"/>
      <c r="C199" s="2"/>
      <c r="D199" s="2"/>
      <c r="E199" s="2"/>
      <c r="F199" s="283" t="s">
        <v>221</v>
      </c>
      <c r="G199" s="283"/>
      <c r="H199" s="283"/>
      <c r="I199" s="283"/>
      <c r="J199" s="283"/>
      <c r="K199" s="283"/>
      <c r="L199" s="283" t="s">
        <v>176</v>
      </c>
      <c r="M199" s="283"/>
      <c r="N199" s="283"/>
      <c r="O199" s="283"/>
      <c r="P199" s="279">
        <v>3290081000</v>
      </c>
      <c r="Q199" s="279"/>
      <c r="R199" s="279">
        <v>0</v>
      </c>
      <c r="S199" s="279"/>
      <c r="T199" s="279"/>
      <c r="U199" s="279"/>
      <c r="V199" s="7">
        <v>1025167335</v>
      </c>
      <c r="W199" s="279">
        <v>0</v>
      </c>
      <c r="X199" s="279"/>
      <c r="Y199" s="279">
        <v>1025167335</v>
      </c>
      <c r="Z199" s="279"/>
      <c r="AA199" s="279"/>
      <c r="AB199" s="282">
        <v>0.311593342230784</v>
      </c>
      <c r="AC199" s="282"/>
      <c r="AD199" s="279">
        <v>2264913665</v>
      </c>
      <c r="AE199" s="279"/>
      <c r="AF199" s="279"/>
      <c r="AG199" s="279"/>
      <c r="AH199" s="279"/>
    </row>
    <row r="200" spans="1:38" ht="14.45" customHeight="1">
      <c r="A200" s="2"/>
      <c r="B200" s="2"/>
      <c r="C200" s="2"/>
      <c r="D200" s="2"/>
      <c r="E200" s="2"/>
      <c r="F200" s="2"/>
      <c r="G200" s="2"/>
      <c r="H200" s="283" t="s">
        <v>222</v>
      </c>
      <c r="I200" s="283"/>
      <c r="J200" s="283"/>
      <c r="K200" s="283"/>
      <c r="L200" s="283"/>
      <c r="M200" s="283" t="s">
        <v>223</v>
      </c>
      <c r="N200" s="283"/>
      <c r="O200" s="283"/>
      <c r="P200" s="279">
        <v>230000000</v>
      </c>
      <c r="Q200" s="279"/>
      <c r="R200" s="279">
        <v>0</v>
      </c>
      <c r="S200" s="279"/>
      <c r="T200" s="279"/>
      <c r="U200" s="279"/>
      <c r="V200" s="7">
        <v>88825875</v>
      </c>
      <c r="W200" s="279">
        <v>0</v>
      </c>
      <c r="X200" s="279"/>
      <c r="Y200" s="279">
        <v>88825875</v>
      </c>
      <c r="Z200" s="279"/>
      <c r="AA200" s="279"/>
      <c r="AB200" s="282">
        <v>0.38619945652173915</v>
      </c>
      <c r="AC200" s="282"/>
      <c r="AD200" s="279">
        <v>141174125</v>
      </c>
      <c r="AE200" s="279"/>
      <c r="AF200" s="279"/>
      <c r="AG200" s="279"/>
      <c r="AH200" s="279"/>
    </row>
    <row r="201" spans="1:38" ht="14.45" customHeight="1">
      <c r="A201" s="2"/>
      <c r="B201" s="2"/>
      <c r="C201" s="2"/>
      <c r="D201" s="2"/>
      <c r="E201" s="2"/>
      <c r="F201" s="2"/>
      <c r="G201" s="2"/>
      <c r="H201" s="283" t="s">
        <v>224</v>
      </c>
      <c r="I201" s="283"/>
      <c r="J201" s="283"/>
      <c r="K201" s="283"/>
      <c r="L201" s="283"/>
      <c r="M201" s="283" t="s">
        <v>225</v>
      </c>
      <c r="N201" s="283"/>
      <c r="O201" s="283"/>
      <c r="P201" s="279">
        <v>1000000</v>
      </c>
      <c r="Q201" s="279"/>
      <c r="R201" s="279">
        <v>0</v>
      </c>
      <c r="S201" s="279"/>
      <c r="T201" s="279"/>
      <c r="U201" s="279"/>
      <c r="V201" s="7">
        <v>309977</v>
      </c>
      <c r="W201" s="279">
        <v>0</v>
      </c>
      <c r="X201" s="279"/>
      <c r="Y201" s="279">
        <v>309977</v>
      </c>
      <c r="Z201" s="279"/>
      <c r="AA201" s="279"/>
      <c r="AB201" s="282">
        <v>0.309977</v>
      </c>
      <c r="AC201" s="282"/>
      <c r="AD201" s="279">
        <v>690023</v>
      </c>
      <c r="AE201" s="279"/>
      <c r="AF201" s="279"/>
      <c r="AG201" s="279"/>
      <c r="AH201" s="279"/>
    </row>
    <row r="202" spans="1:38" ht="14.45" customHeight="1">
      <c r="A202" s="2"/>
      <c r="B202" s="2"/>
      <c r="C202" s="2"/>
      <c r="D202" s="2"/>
      <c r="E202" s="2"/>
      <c r="F202" s="2"/>
      <c r="G202" s="2"/>
      <c r="H202" s="283" t="s">
        <v>163</v>
      </c>
      <c r="I202" s="283"/>
      <c r="J202" s="283"/>
      <c r="K202" s="283"/>
      <c r="L202" s="283"/>
      <c r="M202" s="283" t="s">
        <v>164</v>
      </c>
      <c r="N202" s="283"/>
      <c r="O202" s="283"/>
      <c r="P202" s="279">
        <v>73920000</v>
      </c>
      <c r="Q202" s="279"/>
      <c r="R202" s="279">
        <v>0</v>
      </c>
      <c r="S202" s="279"/>
      <c r="T202" s="279"/>
      <c r="U202" s="279"/>
      <c r="V202" s="7">
        <v>24640000</v>
      </c>
      <c r="W202" s="279">
        <v>0</v>
      </c>
      <c r="X202" s="279"/>
      <c r="Y202" s="279">
        <v>24640000</v>
      </c>
      <c r="Z202" s="279"/>
      <c r="AA202" s="279"/>
      <c r="AB202" s="282">
        <v>0.33333333333333331</v>
      </c>
      <c r="AC202" s="282"/>
      <c r="AD202" s="279">
        <v>49280000</v>
      </c>
      <c r="AE202" s="279"/>
      <c r="AF202" s="279"/>
      <c r="AG202" s="279"/>
      <c r="AH202" s="279"/>
    </row>
    <row r="203" spans="1:38" ht="14.45" customHeight="1">
      <c r="A203" s="2"/>
      <c r="B203" s="2"/>
      <c r="C203" s="2"/>
      <c r="D203" s="2"/>
      <c r="E203" s="2"/>
      <c r="F203" s="2"/>
      <c r="G203" s="2"/>
      <c r="H203" s="283" t="s">
        <v>82</v>
      </c>
      <c r="I203" s="283"/>
      <c r="J203" s="283"/>
      <c r="K203" s="283"/>
      <c r="L203" s="283"/>
      <c r="M203" s="283" t="s">
        <v>83</v>
      </c>
      <c r="N203" s="283"/>
      <c r="O203" s="283"/>
      <c r="P203" s="279">
        <v>25000000</v>
      </c>
      <c r="Q203" s="279"/>
      <c r="R203" s="279">
        <v>0</v>
      </c>
      <c r="S203" s="279"/>
      <c r="T203" s="279"/>
      <c r="U203" s="279"/>
      <c r="V203" s="7">
        <v>6610270</v>
      </c>
      <c r="W203" s="279">
        <v>0</v>
      </c>
      <c r="X203" s="279"/>
      <c r="Y203" s="279">
        <v>6610270</v>
      </c>
      <c r="Z203" s="279"/>
      <c r="AA203" s="279"/>
      <c r="AB203" s="282">
        <v>0.2644108</v>
      </c>
      <c r="AC203" s="282"/>
      <c r="AD203" s="279">
        <v>18389730</v>
      </c>
      <c r="AE203" s="279"/>
      <c r="AF203" s="279"/>
      <c r="AG203" s="279"/>
      <c r="AH203" s="279"/>
    </row>
    <row r="204" spans="1:38" ht="14.45" customHeight="1">
      <c r="A204" s="2"/>
      <c r="B204" s="2"/>
      <c r="C204" s="2"/>
      <c r="D204" s="2"/>
      <c r="E204" s="2"/>
      <c r="F204" s="2"/>
      <c r="G204" s="2"/>
      <c r="H204" s="283" t="s">
        <v>103</v>
      </c>
      <c r="I204" s="283"/>
      <c r="J204" s="283"/>
      <c r="K204" s="283"/>
      <c r="L204" s="283"/>
      <c r="M204" s="283" t="s">
        <v>104</v>
      </c>
      <c r="N204" s="283"/>
      <c r="O204" s="283"/>
      <c r="P204" s="279">
        <v>282840000</v>
      </c>
      <c r="Q204" s="279"/>
      <c r="R204" s="279">
        <v>0</v>
      </c>
      <c r="S204" s="279"/>
      <c r="T204" s="279"/>
      <c r="U204" s="279"/>
      <c r="V204" s="7">
        <v>96269574</v>
      </c>
      <c r="W204" s="279">
        <v>0</v>
      </c>
      <c r="X204" s="279"/>
      <c r="Y204" s="279">
        <v>96269574</v>
      </c>
      <c r="Z204" s="279"/>
      <c r="AA204" s="279"/>
      <c r="AB204" s="282">
        <v>0.3403676071277047</v>
      </c>
      <c r="AC204" s="282"/>
      <c r="AD204" s="279">
        <v>186570426</v>
      </c>
      <c r="AE204" s="279"/>
      <c r="AF204" s="279"/>
      <c r="AG204" s="279"/>
      <c r="AH204" s="279"/>
    </row>
    <row r="205" spans="1:38" ht="14.45" customHeight="1">
      <c r="A205" s="2"/>
      <c r="B205" s="2"/>
      <c r="C205" s="2"/>
      <c r="D205" s="2"/>
      <c r="E205" s="2"/>
      <c r="F205" s="2"/>
      <c r="G205" s="2"/>
      <c r="H205" s="283" t="s">
        <v>226</v>
      </c>
      <c r="I205" s="283"/>
      <c r="J205" s="283"/>
      <c r="K205" s="283"/>
      <c r="L205" s="283"/>
      <c r="M205" s="283" t="s">
        <v>227</v>
      </c>
      <c r="N205" s="283"/>
      <c r="O205" s="283"/>
      <c r="P205" s="279">
        <v>216000000</v>
      </c>
      <c r="Q205" s="279"/>
      <c r="R205" s="279">
        <v>0</v>
      </c>
      <c r="S205" s="279"/>
      <c r="T205" s="279"/>
      <c r="U205" s="279"/>
      <c r="V205" s="7">
        <v>80871020</v>
      </c>
      <c r="W205" s="279">
        <v>0</v>
      </c>
      <c r="X205" s="279"/>
      <c r="Y205" s="279">
        <v>80871020</v>
      </c>
      <c r="Z205" s="279"/>
      <c r="AA205" s="279"/>
      <c r="AB205" s="282">
        <v>0.37440287037037034</v>
      </c>
      <c r="AC205" s="282"/>
      <c r="AD205" s="279">
        <v>135128980</v>
      </c>
      <c r="AE205" s="279"/>
      <c r="AF205" s="279"/>
      <c r="AG205" s="279"/>
      <c r="AH205" s="279"/>
    </row>
    <row r="206" spans="1:38" ht="14.45" customHeight="1">
      <c r="A206" s="2"/>
      <c r="B206" s="2"/>
      <c r="C206" s="2"/>
      <c r="D206" s="2"/>
      <c r="E206" s="2"/>
      <c r="F206" s="2"/>
      <c r="G206" s="2"/>
      <c r="H206" s="283" t="s">
        <v>228</v>
      </c>
      <c r="I206" s="283"/>
      <c r="J206" s="283"/>
      <c r="K206" s="283"/>
      <c r="L206" s="283"/>
      <c r="M206" s="283" t="s">
        <v>229</v>
      </c>
      <c r="N206" s="283"/>
      <c r="O206" s="283"/>
      <c r="P206" s="279">
        <v>17000000</v>
      </c>
      <c r="Q206" s="279"/>
      <c r="R206" s="279">
        <v>0</v>
      </c>
      <c r="S206" s="279"/>
      <c r="T206" s="279"/>
      <c r="U206" s="279"/>
      <c r="V206" s="7">
        <v>3187186</v>
      </c>
      <c r="W206" s="279">
        <v>0</v>
      </c>
      <c r="X206" s="279"/>
      <c r="Y206" s="279">
        <v>3187186</v>
      </c>
      <c r="Z206" s="279"/>
      <c r="AA206" s="279"/>
      <c r="AB206" s="282">
        <v>0.18748152941176471</v>
      </c>
      <c r="AC206" s="282"/>
      <c r="AD206" s="279">
        <v>13812814</v>
      </c>
      <c r="AE206" s="279"/>
      <c r="AF206" s="279"/>
      <c r="AG206" s="279"/>
      <c r="AH206" s="279"/>
    </row>
    <row r="207" spans="1:38" ht="14.45" customHeight="1">
      <c r="A207" s="2"/>
      <c r="B207" s="2"/>
      <c r="C207" s="2"/>
      <c r="D207" s="2"/>
      <c r="E207" s="2"/>
      <c r="F207" s="2"/>
      <c r="G207" s="2"/>
      <c r="H207" s="283" t="s">
        <v>84</v>
      </c>
      <c r="I207" s="283"/>
      <c r="J207" s="283"/>
      <c r="K207" s="283"/>
      <c r="L207" s="283"/>
      <c r="M207" s="283" t="s">
        <v>85</v>
      </c>
      <c r="N207" s="283"/>
      <c r="O207" s="283"/>
      <c r="P207" s="279">
        <v>478000000</v>
      </c>
      <c r="Q207" s="279"/>
      <c r="R207" s="279">
        <v>0</v>
      </c>
      <c r="S207" s="279"/>
      <c r="T207" s="279"/>
      <c r="U207" s="279"/>
      <c r="V207" s="7">
        <v>18720000</v>
      </c>
      <c r="W207" s="279">
        <v>0</v>
      </c>
      <c r="X207" s="279"/>
      <c r="Y207" s="279">
        <v>18720000</v>
      </c>
      <c r="Z207" s="279"/>
      <c r="AA207" s="279"/>
      <c r="AB207" s="282">
        <v>3.9163179916317993E-2</v>
      </c>
      <c r="AC207" s="282"/>
      <c r="AD207" s="279">
        <v>459280000</v>
      </c>
      <c r="AE207" s="279"/>
      <c r="AF207" s="279"/>
      <c r="AG207" s="279"/>
      <c r="AH207" s="279"/>
    </row>
    <row r="208" spans="1:38" ht="14.45" customHeight="1">
      <c r="A208" s="2"/>
      <c r="B208" s="2"/>
      <c r="C208" s="2"/>
      <c r="D208" s="2"/>
      <c r="E208" s="2"/>
      <c r="F208" s="2"/>
      <c r="G208" s="2"/>
      <c r="H208" s="283" t="s">
        <v>107</v>
      </c>
      <c r="I208" s="283"/>
      <c r="J208" s="283"/>
      <c r="K208" s="283"/>
      <c r="L208" s="283"/>
      <c r="M208" s="283" t="s">
        <v>108</v>
      </c>
      <c r="N208" s="283"/>
      <c r="O208" s="283"/>
      <c r="P208" s="279">
        <v>10000000</v>
      </c>
      <c r="Q208" s="279"/>
      <c r="R208" s="279">
        <v>0</v>
      </c>
      <c r="S208" s="279"/>
      <c r="T208" s="279"/>
      <c r="U208" s="279"/>
      <c r="V208" s="7">
        <v>0</v>
      </c>
      <c r="W208" s="279">
        <v>0</v>
      </c>
      <c r="X208" s="279"/>
      <c r="Y208" s="279">
        <v>0</v>
      </c>
      <c r="Z208" s="279"/>
      <c r="AA208" s="279"/>
      <c r="AB208" s="282">
        <v>0</v>
      </c>
      <c r="AC208" s="282"/>
      <c r="AD208" s="279">
        <v>10000000</v>
      </c>
      <c r="AE208" s="279"/>
      <c r="AF208" s="279"/>
      <c r="AG208" s="279"/>
      <c r="AH208" s="279"/>
    </row>
    <row r="209" spans="1:34" ht="15" customHeight="1">
      <c r="A209" s="2"/>
      <c r="B209" s="2"/>
      <c r="C209" s="2"/>
      <c r="D209" s="2"/>
      <c r="E209" s="2"/>
      <c r="F209" s="2"/>
      <c r="G209" s="2"/>
      <c r="H209" s="283" t="s">
        <v>230</v>
      </c>
      <c r="I209" s="283"/>
      <c r="J209" s="283"/>
      <c r="K209" s="283"/>
      <c r="L209" s="283"/>
      <c r="M209" s="283" t="s">
        <v>231</v>
      </c>
      <c r="N209" s="283"/>
      <c r="O209" s="283"/>
      <c r="P209" s="279">
        <v>1385931000</v>
      </c>
      <c r="Q209" s="279"/>
      <c r="R209" s="279">
        <v>0</v>
      </c>
      <c r="S209" s="279"/>
      <c r="T209" s="279"/>
      <c r="U209" s="279"/>
      <c r="V209" s="7">
        <v>530402339</v>
      </c>
      <c r="W209" s="279">
        <v>0</v>
      </c>
      <c r="X209" s="279"/>
      <c r="Y209" s="279">
        <v>530402339</v>
      </c>
      <c r="Z209" s="279"/>
      <c r="AA209" s="279"/>
      <c r="AB209" s="282">
        <v>0.38270472267378391</v>
      </c>
      <c r="AC209" s="282"/>
      <c r="AD209" s="279">
        <v>855528661</v>
      </c>
      <c r="AE209" s="279"/>
      <c r="AF209" s="279"/>
      <c r="AG209" s="279"/>
      <c r="AH209" s="279"/>
    </row>
    <row r="210" spans="1:34" ht="14.45" customHeight="1">
      <c r="A210" s="2"/>
      <c r="B210" s="2"/>
      <c r="C210" s="2"/>
      <c r="D210" s="2"/>
      <c r="E210" s="2"/>
      <c r="F210" s="2"/>
      <c r="G210" s="2"/>
      <c r="H210" s="283" t="s">
        <v>232</v>
      </c>
      <c r="I210" s="283"/>
      <c r="J210" s="283"/>
      <c r="K210" s="283"/>
      <c r="L210" s="283"/>
      <c r="M210" s="283" t="s">
        <v>233</v>
      </c>
      <c r="N210" s="283"/>
      <c r="O210" s="283"/>
      <c r="P210" s="279">
        <v>285300000</v>
      </c>
      <c r="Q210" s="279"/>
      <c r="R210" s="279">
        <v>0</v>
      </c>
      <c r="S210" s="279"/>
      <c r="T210" s="279"/>
      <c r="U210" s="279"/>
      <c r="V210" s="7">
        <v>105284691</v>
      </c>
      <c r="W210" s="279">
        <v>0</v>
      </c>
      <c r="X210" s="279"/>
      <c r="Y210" s="279">
        <v>105284691</v>
      </c>
      <c r="Z210" s="279"/>
      <c r="AA210" s="279"/>
      <c r="AB210" s="282">
        <v>0.36903151419558361</v>
      </c>
      <c r="AC210" s="282"/>
      <c r="AD210" s="279">
        <v>180015309</v>
      </c>
      <c r="AE210" s="279"/>
      <c r="AF210" s="279"/>
      <c r="AG210" s="279"/>
      <c r="AH210" s="279"/>
    </row>
    <row r="211" spans="1:34" ht="14.45" customHeight="1">
      <c r="A211" s="2"/>
      <c r="B211" s="2"/>
      <c r="C211" s="2"/>
      <c r="D211" s="2"/>
      <c r="E211" s="2"/>
      <c r="F211" s="2"/>
      <c r="G211" s="2"/>
      <c r="H211" s="283" t="s">
        <v>234</v>
      </c>
      <c r="I211" s="283"/>
      <c r="J211" s="283"/>
      <c r="K211" s="283"/>
      <c r="L211" s="283"/>
      <c r="M211" s="283" t="s">
        <v>235</v>
      </c>
      <c r="N211" s="283"/>
      <c r="O211" s="283"/>
      <c r="P211" s="279">
        <v>184700000</v>
      </c>
      <c r="Q211" s="279"/>
      <c r="R211" s="279">
        <v>0</v>
      </c>
      <c r="S211" s="279"/>
      <c r="T211" s="279"/>
      <c r="U211" s="279"/>
      <c r="V211" s="7">
        <v>20084600</v>
      </c>
      <c r="W211" s="279">
        <v>0</v>
      </c>
      <c r="X211" s="279"/>
      <c r="Y211" s="279">
        <v>20084600</v>
      </c>
      <c r="Z211" s="279"/>
      <c r="AA211" s="279"/>
      <c r="AB211" s="282">
        <v>0.10874174336762317</v>
      </c>
      <c r="AC211" s="282"/>
      <c r="AD211" s="279">
        <v>164615400</v>
      </c>
      <c r="AE211" s="279"/>
      <c r="AF211" s="279"/>
      <c r="AG211" s="279"/>
      <c r="AH211" s="279"/>
    </row>
    <row r="212" spans="1:34" ht="14.45" customHeight="1">
      <c r="A212" s="2"/>
      <c r="B212" s="2"/>
      <c r="C212" s="2"/>
      <c r="D212" s="2"/>
      <c r="E212" s="2"/>
      <c r="F212" s="2"/>
      <c r="G212" s="2"/>
      <c r="H212" s="283" t="s">
        <v>236</v>
      </c>
      <c r="I212" s="283"/>
      <c r="J212" s="283"/>
      <c r="K212" s="283"/>
      <c r="L212" s="283"/>
      <c r="M212" s="283" t="s">
        <v>237</v>
      </c>
      <c r="N212" s="283"/>
      <c r="O212" s="283"/>
      <c r="P212" s="279">
        <v>100390000</v>
      </c>
      <c r="Q212" s="279"/>
      <c r="R212" s="279">
        <v>0</v>
      </c>
      <c r="S212" s="279"/>
      <c r="T212" s="279"/>
      <c r="U212" s="279"/>
      <c r="V212" s="7">
        <v>49961803</v>
      </c>
      <c r="W212" s="279">
        <v>0</v>
      </c>
      <c r="X212" s="279"/>
      <c r="Y212" s="279">
        <v>49961803</v>
      </c>
      <c r="Z212" s="279"/>
      <c r="AA212" s="279"/>
      <c r="AB212" s="282">
        <v>0.49767708935152905</v>
      </c>
      <c r="AC212" s="282"/>
      <c r="AD212" s="279">
        <v>50428197</v>
      </c>
      <c r="AE212" s="279"/>
      <c r="AF212" s="279"/>
      <c r="AG212" s="279"/>
      <c r="AH212" s="279"/>
    </row>
    <row r="213" spans="1:34" ht="24" customHeight="1">
      <c r="A213" s="2"/>
      <c r="B213" s="294" t="s">
        <v>92</v>
      </c>
      <c r="C213" s="294"/>
      <c r="D213" s="294"/>
      <c r="E213" s="294"/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4"/>
      <c r="AB213" s="294"/>
      <c r="AC213" s="294"/>
      <c r="AD213" s="294"/>
      <c r="AE213" s="294"/>
      <c r="AF213" s="2"/>
      <c r="AG213" s="2"/>
      <c r="AH213" s="2"/>
    </row>
  </sheetData>
  <mergeCells count="1602">
    <mergeCell ref="AB197:AC197"/>
    <mergeCell ref="C68:F68"/>
    <mergeCell ref="R158:U158"/>
    <mergeCell ref="Y171:AA171"/>
    <mergeCell ref="R193:U193"/>
    <mergeCell ref="W130:X130"/>
    <mergeCell ref="R160:U160"/>
    <mergeCell ref="Y173:AA173"/>
    <mergeCell ref="W132:X132"/>
    <mergeCell ref="AD81:AH81"/>
    <mergeCell ref="R147:U147"/>
    <mergeCell ref="F104:K104"/>
    <mergeCell ref="R73:U73"/>
    <mergeCell ref="F167:K167"/>
    <mergeCell ref="W96:X96"/>
    <mergeCell ref="J159:O159"/>
    <mergeCell ref="AB187:AC187"/>
    <mergeCell ref="AB90:AC90"/>
    <mergeCell ref="AD192:AH192"/>
    <mergeCell ref="AD154:AH154"/>
    <mergeCell ref="P145:Q145"/>
    <mergeCell ref="AD148:AH148"/>
    <mergeCell ref="B152:C152"/>
    <mergeCell ref="P196:Q196"/>
    <mergeCell ref="W197:X197"/>
    <mergeCell ref="AD15:AH15"/>
    <mergeCell ref="Y16:AA16"/>
    <mergeCell ref="P21:Q21"/>
    <mergeCell ref="U7:AB7"/>
    <mergeCell ref="AA8:AB8"/>
    <mergeCell ref="Y129:AA129"/>
    <mergeCell ref="Y123:AA123"/>
    <mergeCell ref="H136:L136"/>
    <mergeCell ref="R125:U125"/>
    <mergeCell ref="AD52:AH52"/>
    <mergeCell ref="Y21:AA21"/>
    <mergeCell ref="P41:Q41"/>
    <mergeCell ref="M30:O30"/>
    <mergeCell ref="R136:U136"/>
    <mergeCell ref="AB129:AC129"/>
    <mergeCell ref="Y124:AA124"/>
    <mergeCell ref="AD134:AH134"/>
    <mergeCell ref="AB74:AC74"/>
    <mergeCell ref="P110:Q110"/>
    <mergeCell ref="G33:O33"/>
    <mergeCell ref="M20:O20"/>
    <mergeCell ref="M22:O22"/>
    <mergeCell ref="AD26:AH26"/>
    <mergeCell ref="J48:O48"/>
    <mergeCell ref="AD31:AH31"/>
    <mergeCell ref="L37:O37"/>
    <mergeCell ref="W15:X15"/>
    <mergeCell ref="Y19:AA19"/>
    <mergeCell ref="AB32:AC32"/>
    <mergeCell ref="W90:X90"/>
    <mergeCell ref="R16:U16"/>
    <mergeCell ref="Y102:AA102"/>
    <mergeCell ref="O5:Z5"/>
    <mergeCell ref="P50:Q50"/>
    <mergeCell ref="W201:X201"/>
    <mergeCell ref="F199:K199"/>
    <mergeCell ref="J129:O129"/>
    <mergeCell ref="W12:X12"/>
    <mergeCell ref="O6:Z6"/>
    <mergeCell ref="X9:AA9"/>
    <mergeCell ref="AB26:AC26"/>
    <mergeCell ref="M42:O42"/>
    <mergeCell ref="W94:X94"/>
    <mergeCell ref="R64:U64"/>
    <mergeCell ref="R9:U9"/>
    <mergeCell ref="C94:J94"/>
    <mergeCell ref="R11:U11"/>
    <mergeCell ref="D10:O10"/>
    <mergeCell ref="AB135:AC135"/>
    <mergeCell ref="P52:Q52"/>
    <mergeCell ref="L110:O110"/>
    <mergeCell ref="W25:X25"/>
    <mergeCell ref="AB6:AD6"/>
    <mergeCell ref="AD12:AH12"/>
    <mergeCell ref="Y44:AA44"/>
    <mergeCell ref="AB65:AC65"/>
    <mergeCell ref="W39:X39"/>
    <mergeCell ref="AD14:AH14"/>
    <mergeCell ref="AD13:AH13"/>
    <mergeCell ref="AD179:AH179"/>
    <mergeCell ref="AD137:AH137"/>
    <mergeCell ref="AD54:AH54"/>
    <mergeCell ref="AD18:AH18"/>
    <mergeCell ref="AD17:AH17"/>
    <mergeCell ref="AD16:AH16"/>
    <mergeCell ref="AB163:AC163"/>
    <mergeCell ref="AB78:AC78"/>
    <mergeCell ref="AB146:AC146"/>
    <mergeCell ref="AD111:AH111"/>
    <mergeCell ref="P147:Q147"/>
    <mergeCell ref="R177:U177"/>
    <mergeCell ref="P75:Q75"/>
    <mergeCell ref="R115:U115"/>
    <mergeCell ref="W124:X124"/>
    <mergeCell ref="W70:X70"/>
    <mergeCell ref="AD175:AH175"/>
    <mergeCell ref="P167:Q167"/>
    <mergeCell ref="W156:X156"/>
    <mergeCell ref="AB165:AC165"/>
    <mergeCell ref="AD49:AH49"/>
    <mergeCell ref="AB57:AC57"/>
    <mergeCell ref="AB114:AC114"/>
    <mergeCell ref="W23:X23"/>
    <mergeCell ref="W84:X84"/>
    <mergeCell ref="W69:X69"/>
    <mergeCell ref="R62:U62"/>
    <mergeCell ref="AD117:AH117"/>
    <mergeCell ref="AD110:AH110"/>
    <mergeCell ref="W83:X83"/>
    <mergeCell ref="AD103:AH103"/>
    <mergeCell ref="W85:X85"/>
    <mergeCell ref="R38:U38"/>
    <mergeCell ref="P120:Q120"/>
    <mergeCell ref="R40:U40"/>
    <mergeCell ref="Y53:AA53"/>
    <mergeCell ref="P48:Q48"/>
    <mergeCell ref="A5:M5"/>
    <mergeCell ref="C63:J63"/>
    <mergeCell ref="AB117:AC117"/>
    <mergeCell ref="Y18:AA18"/>
    <mergeCell ref="P23:Q23"/>
    <mergeCell ref="P71:Q71"/>
    <mergeCell ref="P32:Q32"/>
    <mergeCell ref="AB22:AC22"/>
    <mergeCell ref="W97:X97"/>
    <mergeCell ref="X8:Z8"/>
    <mergeCell ref="P74:Q74"/>
    <mergeCell ref="M75:O75"/>
    <mergeCell ref="W133:X133"/>
    <mergeCell ref="W127:X127"/>
    <mergeCell ref="AB50:AC50"/>
    <mergeCell ref="L15:O15"/>
    <mergeCell ref="M38:O38"/>
    <mergeCell ref="W58:X58"/>
    <mergeCell ref="AB125:AC125"/>
    <mergeCell ref="R88:U88"/>
    <mergeCell ref="W53:X53"/>
    <mergeCell ref="L45:O45"/>
    <mergeCell ref="R93:U93"/>
    <mergeCell ref="P25:Q25"/>
    <mergeCell ref="R120:U120"/>
    <mergeCell ref="Y94:AA94"/>
    <mergeCell ref="R107:U107"/>
    <mergeCell ref="P16:Q16"/>
    <mergeCell ref="P18:Q18"/>
    <mergeCell ref="W116:X116"/>
    <mergeCell ref="Y35:AA35"/>
    <mergeCell ref="W37:X37"/>
    <mergeCell ref="H21:L21"/>
    <mergeCell ref="P27:Q27"/>
    <mergeCell ref="W20:X20"/>
    <mergeCell ref="H46:L46"/>
    <mergeCell ref="AB98:AC98"/>
    <mergeCell ref="AD89:AH89"/>
    <mergeCell ref="F59:K59"/>
    <mergeCell ref="W108:X108"/>
    <mergeCell ref="P128:Q128"/>
    <mergeCell ref="R83:U83"/>
    <mergeCell ref="H123:L123"/>
    <mergeCell ref="G115:O115"/>
    <mergeCell ref="Y142:AA142"/>
    <mergeCell ref="AD50:AH50"/>
    <mergeCell ref="W29:X29"/>
    <mergeCell ref="Y22:AA22"/>
    <mergeCell ref="AD88:AH88"/>
    <mergeCell ref="P26:Q26"/>
    <mergeCell ref="Y37:AA37"/>
    <mergeCell ref="AB99:AC99"/>
    <mergeCell ref="AD20:AH20"/>
    <mergeCell ref="Y134:AA134"/>
    <mergeCell ref="P54:Q54"/>
    <mergeCell ref="AB39:AC39"/>
    <mergeCell ref="AD101:AH101"/>
    <mergeCell ref="R69:U69"/>
    <mergeCell ref="AB131:AC131"/>
    <mergeCell ref="H66:L66"/>
    <mergeCell ref="R140:U140"/>
    <mergeCell ref="AB133:AC133"/>
    <mergeCell ref="P94:Q94"/>
    <mergeCell ref="W101:X101"/>
    <mergeCell ref="K13:O13"/>
    <mergeCell ref="M51:O51"/>
    <mergeCell ref="W162:X162"/>
    <mergeCell ref="W33:X33"/>
    <mergeCell ref="R117:U117"/>
    <mergeCell ref="B114:H114"/>
    <mergeCell ref="Y105:AA105"/>
    <mergeCell ref="W35:X35"/>
    <mergeCell ref="Y99:AA99"/>
    <mergeCell ref="AB105:AC105"/>
    <mergeCell ref="W173:X173"/>
    <mergeCell ref="Y45:AA45"/>
    <mergeCell ref="W114:X114"/>
    <mergeCell ref="F19:K19"/>
    <mergeCell ref="AB127:AC127"/>
    <mergeCell ref="R63:U63"/>
    <mergeCell ref="C33:F33"/>
    <mergeCell ref="H113:L113"/>
    <mergeCell ref="AB31:AC31"/>
    <mergeCell ref="F130:K130"/>
    <mergeCell ref="H171:L171"/>
    <mergeCell ref="L149:O149"/>
    <mergeCell ref="R45:U45"/>
    <mergeCell ref="M151:O151"/>
    <mergeCell ref="Y71:AA71"/>
    <mergeCell ref="W134:X134"/>
    <mergeCell ref="H17:L17"/>
    <mergeCell ref="R71:U71"/>
    <mergeCell ref="Y84:AA84"/>
    <mergeCell ref="Y20:AA20"/>
    <mergeCell ref="W22:X22"/>
    <mergeCell ref="P146:Q146"/>
    <mergeCell ref="AB189:AC189"/>
    <mergeCell ref="P157:Q157"/>
    <mergeCell ref="R87:U87"/>
    <mergeCell ref="W195:X195"/>
    <mergeCell ref="Y147:AA147"/>
    <mergeCell ref="H180:L180"/>
    <mergeCell ref="P144:Q144"/>
    <mergeCell ref="B164:AE164"/>
    <mergeCell ref="H186:L186"/>
    <mergeCell ref="AB168:AC168"/>
    <mergeCell ref="AD195:AH195"/>
    <mergeCell ref="M146:O146"/>
    <mergeCell ref="H120:L120"/>
    <mergeCell ref="AB154:AC154"/>
    <mergeCell ref="AD158:AH158"/>
    <mergeCell ref="W155:X155"/>
    <mergeCell ref="AB89:AC89"/>
    <mergeCell ref="P168:Q168"/>
    <mergeCell ref="W135:X135"/>
    <mergeCell ref="AD181:AH181"/>
    <mergeCell ref="AB141:AC141"/>
    <mergeCell ref="AB109:AC109"/>
    <mergeCell ref="AD207:AH207"/>
    <mergeCell ref="P197:Q197"/>
    <mergeCell ref="F89:K89"/>
    <mergeCell ref="P206:Q206"/>
    <mergeCell ref="Y202:AA202"/>
    <mergeCell ref="R212:U212"/>
    <mergeCell ref="M212:O212"/>
    <mergeCell ref="AD84:AH84"/>
    <mergeCell ref="E148:I148"/>
    <mergeCell ref="W180:X180"/>
    <mergeCell ref="P200:Q200"/>
    <mergeCell ref="K155:O155"/>
    <mergeCell ref="W190:X190"/>
    <mergeCell ref="AB107:AC107"/>
    <mergeCell ref="M145:O145"/>
    <mergeCell ref="AB190:AC190"/>
    <mergeCell ref="J148:O148"/>
    <mergeCell ref="R205:U205"/>
    <mergeCell ref="Y125:AA125"/>
    <mergeCell ref="R145:U145"/>
    <mergeCell ref="AB159:AC159"/>
    <mergeCell ref="AB153:AC153"/>
    <mergeCell ref="M126:O126"/>
    <mergeCell ref="R105:U105"/>
    <mergeCell ref="R174:U174"/>
    <mergeCell ref="M200:O200"/>
    <mergeCell ref="AB113:AC113"/>
    <mergeCell ref="AD162:AH162"/>
    <mergeCell ref="M137:O137"/>
    <mergeCell ref="M194:O194"/>
    <mergeCell ref="M102:O102"/>
    <mergeCell ref="Y197:AA197"/>
    <mergeCell ref="AB205:AC205"/>
    <mergeCell ref="AB202:AC202"/>
    <mergeCell ref="P194:Q194"/>
    <mergeCell ref="Y193:AA193"/>
    <mergeCell ref="M176:O176"/>
    <mergeCell ref="R154:U154"/>
    <mergeCell ref="R156:U156"/>
    <mergeCell ref="M91:O91"/>
    <mergeCell ref="W182:X182"/>
    <mergeCell ref="G154:O154"/>
    <mergeCell ref="R179:U179"/>
    <mergeCell ref="L160:O160"/>
    <mergeCell ref="F124:K124"/>
    <mergeCell ref="F163:K163"/>
    <mergeCell ref="P113:Q113"/>
    <mergeCell ref="M108:O108"/>
    <mergeCell ref="W193:X193"/>
    <mergeCell ref="M175:O175"/>
    <mergeCell ref="AB140:AC140"/>
    <mergeCell ref="AB115:AC115"/>
    <mergeCell ref="Y135:AA135"/>
    <mergeCell ref="Y179:AA179"/>
    <mergeCell ref="B92:H92"/>
    <mergeCell ref="Y201:AA201"/>
    <mergeCell ref="Y195:AA195"/>
    <mergeCell ref="AB166:AC166"/>
    <mergeCell ref="H203:L203"/>
    <mergeCell ref="P107:Q107"/>
    <mergeCell ref="P101:Q101"/>
    <mergeCell ref="W158:X158"/>
    <mergeCell ref="M120:O120"/>
    <mergeCell ref="P95:Q95"/>
    <mergeCell ref="W209:X209"/>
    <mergeCell ref="Y204:AA204"/>
    <mergeCell ref="H211:L211"/>
    <mergeCell ref="R207:U207"/>
    <mergeCell ref="P208:Q208"/>
    <mergeCell ref="P170:Q170"/>
    <mergeCell ref="H178:L178"/>
    <mergeCell ref="L122:O122"/>
    <mergeCell ref="H200:L200"/>
    <mergeCell ref="H202:L202"/>
    <mergeCell ref="Y208:AA208"/>
    <mergeCell ref="H85:L85"/>
    <mergeCell ref="H208:L208"/>
    <mergeCell ref="P201:Q201"/>
    <mergeCell ref="P203:Q203"/>
    <mergeCell ref="H206:L206"/>
    <mergeCell ref="W205:X205"/>
    <mergeCell ref="R195:U195"/>
    <mergeCell ref="Y210:AA210"/>
    <mergeCell ref="E198:I198"/>
    <mergeCell ref="H98:L98"/>
    <mergeCell ref="H193:L193"/>
    <mergeCell ref="P186:Q186"/>
    <mergeCell ref="W188:X188"/>
    <mergeCell ref="J198:O198"/>
    <mergeCell ref="H194:L194"/>
    <mergeCell ref="R197:U197"/>
    <mergeCell ref="P198:Q198"/>
    <mergeCell ref="R210:U210"/>
    <mergeCell ref="H132:L132"/>
    <mergeCell ref="P156:Q156"/>
    <mergeCell ref="W152:X152"/>
    <mergeCell ref="M202:O202"/>
    <mergeCell ref="M128:O128"/>
    <mergeCell ref="H54:L54"/>
    <mergeCell ref="AB76:AC76"/>
    <mergeCell ref="H56:L56"/>
    <mergeCell ref="H83:L83"/>
    <mergeCell ref="AB130:AC130"/>
    <mergeCell ref="P166:Q166"/>
    <mergeCell ref="M184:O184"/>
    <mergeCell ref="AB198:AC198"/>
    <mergeCell ref="B191:AE191"/>
    <mergeCell ref="AB199:AC199"/>
    <mergeCell ref="AB70:AC70"/>
    <mergeCell ref="P162:Q162"/>
    <mergeCell ref="P137:Q137"/>
    <mergeCell ref="M180:O180"/>
    <mergeCell ref="AB96:AC96"/>
    <mergeCell ref="P160:Q160"/>
    <mergeCell ref="AD102:AH102"/>
    <mergeCell ref="C133:J133"/>
    <mergeCell ref="H161:L161"/>
    <mergeCell ref="AD180:AH180"/>
    <mergeCell ref="P172:Q172"/>
    <mergeCell ref="M162:O162"/>
    <mergeCell ref="P165:Q165"/>
    <mergeCell ref="W186:X186"/>
    <mergeCell ref="AD171:AH171"/>
    <mergeCell ref="AB103:AC103"/>
    <mergeCell ref="Y199:AA199"/>
    <mergeCell ref="K94:O94"/>
    <mergeCell ref="R82:U82"/>
    <mergeCell ref="P195:Q195"/>
    <mergeCell ref="L169:O169"/>
    <mergeCell ref="R176:U176"/>
    <mergeCell ref="Y190:AA190"/>
    <mergeCell ref="Y185:AA185"/>
    <mergeCell ref="E73:I73"/>
    <mergeCell ref="R78:U78"/>
    <mergeCell ref="Y91:AA91"/>
    <mergeCell ref="Y66:AA66"/>
    <mergeCell ref="P76:Q76"/>
    <mergeCell ref="M182:O182"/>
    <mergeCell ref="R121:U121"/>
    <mergeCell ref="P114:Q114"/>
    <mergeCell ref="F187:K187"/>
    <mergeCell ref="R141:U141"/>
    <mergeCell ref="R143:U143"/>
    <mergeCell ref="H103:L103"/>
    <mergeCell ref="W122:X122"/>
    <mergeCell ref="P134:Q134"/>
    <mergeCell ref="Y165:AA165"/>
    <mergeCell ref="M150:O150"/>
    <mergeCell ref="J134:O134"/>
    <mergeCell ref="H182:L182"/>
    <mergeCell ref="Y168:AA168"/>
    <mergeCell ref="F140:K140"/>
    <mergeCell ref="M190:O190"/>
    <mergeCell ref="B138:AE138"/>
    <mergeCell ref="F82:K82"/>
    <mergeCell ref="E109:I109"/>
    <mergeCell ref="E139:I139"/>
    <mergeCell ref="Y182:AA182"/>
    <mergeCell ref="AB179:AC179"/>
    <mergeCell ref="AD190:AH190"/>
    <mergeCell ref="A3:AE3"/>
    <mergeCell ref="AD51:AH51"/>
    <mergeCell ref="W24:X24"/>
    <mergeCell ref="Y88:AA88"/>
    <mergeCell ref="H137:L137"/>
    <mergeCell ref="M183:O183"/>
    <mergeCell ref="C35:J35"/>
    <mergeCell ref="R102:U102"/>
    <mergeCell ref="W26:X26"/>
    <mergeCell ref="P59:Q59"/>
    <mergeCell ref="Y90:AA90"/>
    <mergeCell ref="Y14:AA14"/>
    <mergeCell ref="W10:X10"/>
    <mergeCell ref="E14:I14"/>
    <mergeCell ref="G12:O12"/>
    <mergeCell ref="W14:X14"/>
    <mergeCell ref="F23:K23"/>
    <mergeCell ref="P77:Q77"/>
    <mergeCell ref="W99:X99"/>
    <mergeCell ref="Y77:AA77"/>
    <mergeCell ref="Y33:AA33"/>
    <mergeCell ref="P37:Q37"/>
    <mergeCell ref="P24:Q24"/>
    <mergeCell ref="E58:I58"/>
    <mergeCell ref="AD128:AH128"/>
    <mergeCell ref="W141:X141"/>
    <mergeCell ref="E159:I159"/>
    <mergeCell ref="E134:I134"/>
    <mergeCell ref="AD99:AH99"/>
    <mergeCell ref="R67:U67"/>
    <mergeCell ref="M106:O106"/>
    <mergeCell ref="AD105:AH105"/>
    <mergeCell ref="AB172:AC172"/>
    <mergeCell ref="Y128:AA128"/>
    <mergeCell ref="P169:Q169"/>
    <mergeCell ref="AB64:AC64"/>
    <mergeCell ref="R148:U148"/>
    <mergeCell ref="AD146:AH146"/>
    <mergeCell ref="Y194:AA194"/>
    <mergeCell ref="W146:X146"/>
    <mergeCell ref="AD157:AH157"/>
    <mergeCell ref="Y76:AA76"/>
    <mergeCell ref="Y186:AA186"/>
    <mergeCell ref="W199:X199"/>
    <mergeCell ref="AD121:AH121"/>
    <mergeCell ref="AB142:AC142"/>
    <mergeCell ref="Y137:AA137"/>
    <mergeCell ref="AD123:AH123"/>
    <mergeCell ref="R151:U151"/>
    <mergeCell ref="R180:U180"/>
    <mergeCell ref="AB144:AC144"/>
    <mergeCell ref="R182:U182"/>
    <mergeCell ref="AD118:AH118"/>
    <mergeCell ref="W95:X95"/>
    <mergeCell ref="Y70:AA70"/>
    <mergeCell ref="R173:U173"/>
    <mergeCell ref="P79:Q79"/>
    <mergeCell ref="P73:Q73"/>
    <mergeCell ref="AD197:AH197"/>
    <mergeCell ref="AD199:AH199"/>
    <mergeCell ref="AB126:AC126"/>
    <mergeCell ref="AB101:AC101"/>
    <mergeCell ref="W181:X181"/>
    <mergeCell ref="P119:Q119"/>
    <mergeCell ref="AB20:AC20"/>
    <mergeCell ref="AD82:AH82"/>
    <mergeCell ref="AB14:AC14"/>
    <mergeCell ref="R181:U181"/>
    <mergeCell ref="P81:Q81"/>
    <mergeCell ref="AB134:AC134"/>
    <mergeCell ref="AB161:AC161"/>
    <mergeCell ref="W62:X62"/>
    <mergeCell ref="Y156:AA156"/>
    <mergeCell ref="AD108:AH108"/>
    <mergeCell ref="AB162:AC162"/>
    <mergeCell ref="R192:U192"/>
    <mergeCell ref="AB156:AC156"/>
    <mergeCell ref="H170:L170"/>
    <mergeCell ref="Y180:AA180"/>
    <mergeCell ref="AB33:AC33"/>
    <mergeCell ref="R194:U194"/>
    <mergeCell ref="P92:Q92"/>
    <mergeCell ref="AD100:AH100"/>
    <mergeCell ref="W82:X82"/>
    <mergeCell ref="Y146:AA146"/>
    <mergeCell ref="AB180:AC180"/>
    <mergeCell ref="R47:U47"/>
    <mergeCell ref="H76:L76"/>
    <mergeCell ref="W179:X179"/>
    <mergeCell ref="AD170:AH170"/>
    <mergeCell ref="G62:O62"/>
    <mergeCell ref="Y52:AA52"/>
    <mergeCell ref="M79:O79"/>
    <mergeCell ref="AB108:AC108"/>
    <mergeCell ref="Y122:AA122"/>
    <mergeCell ref="Y103:AA103"/>
    <mergeCell ref="A1:AG1"/>
    <mergeCell ref="AD33:AH33"/>
    <mergeCell ref="W137:X137"/>
    <mergeCell ref="L49:O49"/>
    <mergeCell ref="P149:Q149"/>
    <mergeCell ref="AD35:AH35"/>
    <mergeCell ref="W139:X139"/>
    <mergeCell ref="R92:U92"/>
    <mergeCell ref="AD28:AH28"/>
    <mergeCell ref="P151:Q151"/>
    <mergeCell ref="R94:U94"/>
    <mergeCell ref="AD36:AH36"/>
    <mergeCell ref="AD30:AH30"/>
    <mergeCell ref="W43:X43"/>
    <mergeCell ref="Y107:AA107"/>
    <mergeCell ref="AD61:AH61"/>
    <mergeCell ref="A2:AF2"/>
    <mergeCell ref="R104:U104"/>
    <mergeCell ref="Y117:AA117"/>
    <mergeCell ref="AB10:AC10"/>
    <mergeCell ref="AD71:AH71"/>
    <mergeCell ref="AD73:AH73"/>
    <mergeCell ref="Y144:AA144"/>
    <mergeCell ref="P133:Q133"/>
    <mergeCell ref="P127:Q127"/>
    <mergeCell ref="AB21:AC21"/>
    <mergeCell ref="P116:Q116"/>
    <mergeCell ref="AD124:AH124"/>
    <mergeCell ref="R30:U30"/>
    <mergeCell ref="AB23:AC23"/>
    <mergeCell ref="F52:K52"/>
    <mergeCell ref="AD53:AH53"/>
    <mergeCell ref="H207:L207"/>
    <mergeCell ref="P136:Q136"/>
    <mergeCell ref="E173:I173"/>
    <mergeCell ref="J121:O121"/>
    <mergeCell ref="W126:X126"/>
    <mergeCell ref="W109:X109"/>
    <mergeCell ref="R79:U79"/>
    <mergeCell ref="AB43:AC43"/>
    <mergeCell ref="R184:U184"/>
    <mergeCell ref="H43:L43"/>
    <mergeCell ref="AB58:AC58"/>
    <mergeCell ref="L89:O89"/>
    <mergeCell ref="R157:U157"/>
    <mergeCell ref="Y211:AA211"/>
    <mergeCell ref="AD200:AH200"/>
    <mergeCell ref="W207:X207"/>
    <mergeCell ref="AD202:AH202"/>
    <mergeCell ref="M178:O178"/>
    <mergeCell ref="W202:X202"/>
    <mergeCell ref="R155:U155"/>
    <mergeCell ref="AB181:AC181"/>
    <mergeCell ref="R183:U183"/>
    <mergeCell ref="AB147:AC147"/>
    <mergeCell ref="L187:O187"/>
    <mergeCell ref="R196:U196"/>
    <mergeCell ref="W51:X51"/>
    <mergeCell ref="W50:X50"/>
    <mergeCell ref="AD211:AH211"/>
    <mergeCell ref="AB143:AC143"/>
    <mergeCell ref="L100:O100"/>
    <mergeCell ref="W211:X211"/>
    <mergeCell ref="AB80:AC80"/>
    <mergeCell ref="AB18:AC18"/>
    <mergeCell ref="AB77:AC77"/>
    <mergeCell ref="AD139:AH139"/>
    <mergeCell ref="H57:L57"/>
    <mergeCell ref="H84:L84"/>
    <mergeCell ref="W145:X145"/>
    <mergeCell ref="W147:X147"/>
    <mergeCell ref="H42:L42"/>
    <mergeCell ref="L29:O29"/>
    <mergeCell ref="Y82:AA82"/>
    <mergeCell ref="AD165:AH165"/>
    <mergeCell ref="W172:X172"/>
    <mergeCell ref="Y26:AA26"/>
    <mergeCell ref="B32:H32"/>
    <mergeCell ref="AD198:AH198"/>
    <mergeCell ref="H144:L144"/>
    <mergeCell ref="E99:I99"/>
    <mergeCell ref="P98:Q98"/>
    <mergeCell ref="R168:U168"/>
    <mergeCell ref="Y181:AA181"/>
    <mergeCell ref="H50:L50"/>
    <mergeCell ref="C154:F154"/>
    <mergeCell ref="R103:U103"/>
    <mergeCell ref="M136:O136"/>
    <mergeCell ref="H108:L108"/>
    <mergeCell ref="Y175:AA175"/>
    <mergeCell ref="P181:Q181"/>
    <mergeCell ref="R119:U119"/>
    <mergeCell ref="Y101:AA101"/>
    <mergeCell ref="W66:X66"/>
    <mergeCell ref="R113:U113"/>
    <mergeCell ref="R46:U46"/>
    <mergeCell ref="B10:C10"/>
    <mergeCell ref="W117:X117"/>
    <mergeCell ref="H80:L80"/>
    <mergeCell ref="R37:U37"/>
    <mergeCell ref="B67:H67"/>
    <mergeCell ref="L23:O23"/>
    <mergeCell ref="AB184:AC184"/>
    <mergeCell ref="Y54:AA54"/>
    <mergeCell ref="P202:Q202"/>
    <mergeCell ref="AD176:AH176"/>
    <mergeCell ref="H177:L177"/>
    <mergeCell ref="W107:X107"/>
    <mergeCell ref="M144:O144"/>
    <mergeCell ref="AD156:AH156"/>
    <mergeCell ref="M181:O181"/>
    <mergeCell ref="AD188:AH188"/>
    <mergeCell ref="W170:X170"/>
    <mergeCell ref="AB87:AC87"/>
    <mergeCell ref="P102:Q102"/>
    <mergeCell ref="Y162:AA162"/>
    <mergeCell ref="AB88:AC88"/>
    <mergeCell ref="R127:U127"/>
    <mergeCell ref="AB111:AC111"/>
    <mergeCell ref="Y188:AA188"/>
    <mergeCell ref="AD145:AH145"/>
    <mergeCell ref="AB122:AC122"/>
    <mergeCell ref="AD183:AH183"/>
    <mergeCell ref="AB82:AC82"/>
    <mergeCell ref="AB192:AC192"/>
    <mergeCell ref="M188:O188"/>
    <mergeCell ref="P46:Q46"/>
    <mergeCell ref="M41:O41"/>
    <mergeCell ref="AB12:AC12"/>
    <mergeCell ref="P93:Q93"/>
    <mergeCell ref="W57:X57"/>
    <mergeCell ref="F29:K29"/>
    <mergeCell ref="B213:AE213"/>
    <mergeCell ref="E70:I70"/>
    <mergeCell ref="M186:O186"/>
    <mergeCell ref="P183:Q183"/>
    <mergeCell ref="P62:Q62"/>
    <mergeCell ref="M201:O201"/>
    <mergeCell ref="AD37:AH37"/>
    <mergeCell ref="H141:L141"/>
    <mergeCell ref="W44:X44"/>
    <mergeCell ref="C69:J69"/>
    <mergeCell ref="P64:Q64"/>
    <mergeCell ref="M203:O203"/>
    <mergeCell ref="W174:X174"/>
    <mergeCell ref="M196:O196"/>
    <mergeCell ref="W45:X45"/>
    <mergeCell ref="Y109:AA109"/>
    <mergeCell ref="M204:O204"/>
    <mergeCell ref="W47:X47"/>
    <mergeCell ref="Y111:AA111"/>
    <mergeCell ref="F96:K96"/>
    <mergeCell ref="AB145:AC145"/>
    <mergeCell ref="P82:Q82"/>
    <mergeCell ref="P204:Q204"/>
    <mergeCell ref="L140:O140"/>
    <mergeCell ref="M205:O205"/>
    <mergeCell ref="AD126:AH126"/>
    <mergeCell ref="J44:O44"/>
    <mergeCell ref="H165:L165"/>
    <mergeCell ref="R17:U17"/>
    <mergeCell ref="H20:L20"/>
    <mergeCell ref="P173:Q173"/>
    <mergeCell ref="P44:Q44"/>
    <mergeCell ref="F49:K49"/>
    <mergeCell ref="P184:Q184"/>
    <mergeCell ref="F78:K78"/>
    <mergeCell ref="R18:U18"/>
    <mergeCell ref="W64:X64"/>
    <mergeCell ref="E129:I129"/>
    <mergeCell ref="W171:X171"/>
    <mergeCell ref="P190:Q190"/>
    <mergeCell ref="J173:O173"/>
    <mergeCell ref="W165:X165"/>
    <mergeCell ref="P185:Q185"/>
    <mergeCell ref="P109:Q109"/>
    <mergeCell ref="P188:Q188"/>
    <mergeCell ref="M72:O72"/>
    <mergeCell ref="P135:Q135"/>
    <mergeCell ref="R22:U22"/>
    <mergeCell ref="P100:Q100"/>
    <mergeCell ref="F110:K110"/>
    <mergeCell ref="H181:L181"/>
    <mergeCell ref="M40:O40"/>
    <mergeCell ref="K133:O133"/>
    <mergeCell ref="W168:X168"/>
    <mergeCell ref="M147:O147"/>
    <mergeCell ref="M21:O21"/>
    <mergeCell ref="R48:U48"/>
    <mergeCell ref="M105:O105"/>
    <mergeCell ref="M101:O101"/>
    <mergeCell ref="H188:L188"/>
    <mergeCell ref="AM10:AO10"/>
    <mergeCell ref="M189:O189"/>
    <mergeCell ref="AD196:AH196"/>
    <mergeCell ref="H142:L142"/>
    <mergeCell ref="L19:O19"/>
    <mergeCell ref="R21:U21"/>
    <mergeCell ref="AD24:AH24"/>
    <mergeCell ref="AB200:AC200"/>
    <mergeCell ref="AD174:AH174"/>
    <mergeCell ref="R111:U111"/>
    <mergeCell ref="AD45:AH45"/>
    <mergeCell ref="W149:X149"/>
    <mergeCell ref="Y126:AA126"/>
    <mergeCell ref="R15:U15"/>
    <mergeCell ref="AM22:AO22"/>
    <mergeCell ref="Y100:AA100"/>
    <mergeCell ref="R36:U36"/>
    <mergeCell ref="AB188:AC188"/>
    <mergeCell ref="R185:U185"/>
    <mergeCell ref="AB51:AC51"/>
    <mergeCell ref="R56:U56"/>
    <mergeCell ref="AD142:AH142"/>
    <mergeCell ref="I153:O153"/>
    <mergeCell ref="Y69:AA69"/>
    <mergeCell ref="H31:L31"/>
    <mergeCell ref="J95:O95"/>
    <mergeCell ref="P192:Q192"/>
    <mergeCell ref="R106:U106"/>
    <mergeCell ref="R198:U198"/>
    <mergeCell ref="P111:Q111"/>
    <mergeCell ref="E121:I121"/>
    <mergeCell ref="P108:Q108"/>
    <mergeCell ref="AC9:AH9"/>
    <mergeCell ref="Y203:AA203"/>
    <mergeCell ref="AD182:AH182"/>
    <mergeCell ref="L65:O65"/>
    <mergeCell ref="E44:I44"/>
    <mergeCell ref="H210:L210"/>
    <mergeCell ref="H209:L209"/>
    <mergeCell ref="R53:U53"/>
    <mergeCell ref="AB173:AC173"/>
    <mergeCell ref="G93:O93"/>
    <mergeCell ref="R159:U159"/>
    <mergeCell ref="AB182:AC182"/>
    <mergeCell ref="H196:L196"/>
    <mergeCell ref="R72:U72"/>
    <mergeCell ref="F135:K135"/>
    <mergeCell ref="R161:U161"/>
    <mergeCell ref="W110:X110"/>
    <mergeCell ref="Y174:AA174"/>
    <mergeCell ref="I67:O67"/>
    <mergeCell ref="P9:Q9"/>
    <mergeCell ref="H16:L16"/>
    <mergeCell ref="AB67:AC67"/>
    <mergeCell ref="Y209:AA209"/>
    <mergeCell ref="AB150:AC150"/>
    <mergeCell ref="Y32:AA32"/>
    <mergeCell ref="J58:O58"/>
    <mergeCell ref="P36:Q36"/>
    <mergeCell ref="P11:Q11"/>
    <mergeCell ref="W118:X118"/>
    <mergeCell ref="M166:O166"/>
    <mergeCell ref="M185:O185"/>
    <mergeCell ref="M56:O56"/>
    <mergeCell ref="W212:X212"/>
    <mergeCell ref="L124:O124"/>
    <mergeCell ref="R167:U167"/>
    <mergeCell ref="R169:U169"/>
    <mergeCell ref="Y151:AA151"/>
    <mergeCell ref="AB185:AC185"/>
    <mergeCell ref="AD136:AH136"/>
    <mergeCell ref="M168:O168"/>
    <mergeCell ref="AD212:AH212"/>
    <mergeCell ref="H179:L179"/>
    <mergeCell ref="AD168:AH168"/>
    <mergeCell ref="Y158:AA158"/>
    <mergeCell ref="AB158:AC158"/>
    <mergeCell ref="W166:X166"/>
    <mergeCell ref="Y133:AA133"/>
    <mergeCell ref="P175:Q175"/>
    <mergeCell ref="Y155:AA155"/>
    <mergeCell ref="AB211:AC211"/>
    <mergeCell ref="P174:Q174"/>
    <mergeCell ref="R139:U139"/>
    <mergeCell ref="W192:X192"/>
    <mergeCell ref="H212:L212"/>
    <mergeCell ref="AD209:AH209"/>
    <mergeCell ref="R206:U206"/>
    <mergeCell ref="AB209:AC209"/>
    <mergeCell ref="AD208:AH208"/>
    <mergeCell ref="W203:X203"/>
    <mergeCell ref="R211:U211"/>
    <mergeCell ref="H151:L151"/>
    <mergeCell ref="M142:O142"/>
    <mergeCell ref="L135:O135"/>
    <mergeCell ref="M158:O158"/>
    <mergeCell ref="AD203:AH203"/>
    <mergeCell ref="AD125:AH125"/>
    <mergeCell ref="AD127:AH127"/>
    <mergeCell ref="AD143:AH143"/>
    <mergeCell ref="AD201:AH201"/>
    <mergeCell ref="AD109:AH109"/>
    <mergeCell ref="M111:O111"/>
    <mergeCell ref="R202:U202"/>
    <mergeCell ref="H39:L39"/>
    <mergeCell ref="H97:L97"/>
    <mergeCell ref="W63:X63"/>
    <mergeCell ref="W194:X194"/>
    <mergeCell ref="M76:O76"/>
    <mergeCell ref="R149:U149"/>
    <mergeCell ref="AD85:AH85"/>
    <mergeCell ref="R142:U142"/>
    <mergeCell ref="Y130:AA130"/>
    <mergeCell ref="R55:U55"/>
    <mergeCell ref="Y96:AA96"/>
    <mergeCell ref="Y157:AA157"/>
    <mergeCell ref="R200:U200"/>
    <mergeCell ref="E48:I48"/>
    <mergeCell ref="AD40:AH40"/>
    <mergeCell ref="P72:Q72"/>
    <mergeCell ref="R132:U132"/>
    <mergeCell ref="B112:AE112"/>
    <mergeCell ref="W52:X52"/>
    <mergeCell ref="H105:L105"/>
    <mergeCell ref="Y108:AA108"/>
    <mergeCell ref="R128:U128"/>
    <mergeCell ref="Y145:AA145"/>
    <mergeCell ref="Y139:AA139"/>
    <mergeCell ref="P212:Q212"/>
    <mergeCell ref="M207:O207"/>
    <mergeCell ref="L104:O104"/>
    <mergeCell ref="K172:O172"/>
    <mergeCell ref="P83:Q83"/>
    <mergeCell ref="AB148:AC148"/>
    <mergeCell ref="H162:L162"/>
    <mergeCell ref="E117:I117"/>
    <mergeCell ref="P85:Q85"/>
    <mergeCell ref="R186:U186"/>
    <mergeCell ref="AD205:AH205"/>
    <mergeCell ref="AD185:AH185"/>
    <mergeCell ref="AD94:AH94"/>
    <mergeCell ref="Y192:AA192"/>
    <mergeCell ref="AD64:AH64"/>
    <mergeCell ref="AD57:AH57"/>
    <mergeCell ref="AB174:AC174"/>
    <mergeCell ref="AD194:AH194"/>
    <mergeCell ref="P90:Q90"/>
    <mergeCell ref="M85:O85"/>
    <mergeCell ref="R95:U95"/>
    <mergeCell ref="AB118:AC118"/>
    <mergeCell ref="J77:O77"/>
    <mergeCell ref="F143:K143"/>
    <mergeCell ref="AB201:AC201"/>
    <mergeCell ref="E77:I77"/>
    <mergeCell ref="M125:O125"/>
    <mergeCell ref="AD74:AH74"/>
    <mergeCell ref="K69:O69"/>
    <mergeCell ref="AD107:AH107"/>
    <mergeCell ref="G68:O68"/>
    <mergeCell ref="W100:X100"/>
    <mergeCell ref="AB13:AC13"/>
    <mergeCell ref="Y11:AA11"/>
    <mergeCell ref="AB11:AC11"/>
    <mergeCell ref="C12:F12"/>
    <mergeCell ref="Y184:AA184"/>
    <mergeCell ref="P13:Q13"/>
    <mergeCell ref="B11:H11"/>
    <mergeCell ref="I32:O32"/>
    <mergeCell ref="P15:Q15"/>
    <mergeCell ref="R51:U51"/>
    <mergeCell ref="H41:L41"/>
    <mergeCell ref="W184:X184"/>
    <mergeCell ref="M66:O66"/>
    <mergeCell ref="AB136:AC136"/>
    <mergeCell ref="Y131:AA131"/>
    <mergeCell ref="L157:O157"/>
    <mergeCell ref="C115:F115"/>
    <mergeCell ref="C155:J155"/>
    <mergeCell ref="W176:X176"/>
    <mergeCell ref="P68:Q68"/>
    <mergeCell ref="R57:U57"/>
    <mergeCell ref="Y183:AA183"/>
    <mergeCell ref="W175:X175"/>
    <mergeCell ref="W92:X92"/>
    <mergeCell ref="Y55:AA55"/>
    <mergeCell ref="R75:U75"/>
    <mergeCell ref="P66:Q66"/>
    <mergeCell ref="R54:U54"/>
    <mergeCell ref="P45:Q45"/>
    <mergeCell ref="P38:Q38"/>
    <mergeCell ref="W11:X11"/>
    <mergeCell ref="M170:O170"/>
    <mergeCell ref="W19:X19"/>
    <mergeCell ref="M81:O81"/>
    <mergeCell ref="Y15:AA15"/>
    <mergeCell ref="R20:U20"/>
    <mergeCell ref="W88:X88"/>
    <mergeCell ref="AD160:AH160"/>
    <mergeCell ref="AD159:AH159"/>
    <mergeCell ref="AD72:AH72"/>
    <mergeCell ref="P139:Q139"/>
    <mergeCell ref="AB73:AC73"/>
    <mergeCell ref="W98:X98"/>
    <mergeCell ref="R19:U19"/>
    <mergeCell ref="M17:O17"/>
    <mergeCell ref="M24:O24"/>
    <mergeCell ref="M55:O55"/>
    <mergeCell ref="R32:U32"/>
    <mergeCell ref="M97:O97"/>
    <mergeCell ref="AD149:AH149"/>
    <mergeCell ref="Y97:AA97"/>
    <mergeCell ref="M113:O113"/>
    <mergeCell ref="AD155:AH155"/>
    <mergeCell ref="R110:U110"/>
    <mergeCell ref="AB27:AC27"/>
    <mergeCell ref="AD56:AH56"/>
    <mergeCell ref="P47:Q47"/>
    <mergeCell ref="Y61:AA61"/>
    <mergeCell ref="W17:X17"/>
    <mergeCell ref="P30:Q30"/>
    <mergeCell ref="P152:Q152"/>
    <mergeCell ref="P148:Q148"/>
    <mergeCell ref="P123:Q123"/>
    <mergeCell ref="P17:Q17"/>
    <mergeCell ref="W13:X13"/>
    <mergeCell ref="M210:O210"/>
    <mergeCell ref="AB155:AC155"/>
    <mergeCell ref="AB149:AC149"/>
    <mergeCell ref="R187:U187"/>
    <mergeCell ref="AB151:AC151"/>
    <mergeCell ref="R189:U189"/>
    <mergeCell ref="M107:O107"/>
    <mergeCell ref="Y177:AA177"/>
    <mergeCell ref="J99:O99"/>
    <mergeCell ref="AB79:AC79"/>
    <mergeCell ref="AB81:AC81"/>
    <mergeCell ref="H61:L61"/>
    <mergeCell ref="H90:L90"/>
    <mergeCell ref="W121:X121"/>
    <mergeCell ref="R114:U114"/>
    <mergeCell ref="AB194:AC194"/>
    <mergeCell ref="B153:H153"/>
    <mergeCell ref="P182:Q182"/>
    <mergeCell ref="Y65:AA65"/>
    <mergeCell ref="H185:L185"/>
    <mergeCell ref="P91:Q91"/>
    <mergeCell ref="AB71:AC71"/>
    <mergeCell ref="P53:Q53"/>
    <mergeCell ref="AB171:AC171"/>
    <mergeCell ref="AB30:AC30"/>
    <mergeCell ref="AB203:AC203"/>
    <mergeCell ref="W178:X178"/>
    <mergeCell ref="R175:U175"/>
    <mergeCell ref="W77:X77"/>
    <mergeCell ref="R35:U35"/>
    <mergeCell ref="AB92:AC92"/>
    <mergeCell ref="P19:Q19"/>
    <mergeCell ref="P187:Q187"/>
    <mergeCell ref="Y166:AA166"/>
    <mergeCell ref="Y160:AA160"/>
    <mergeCell ref="W125:X125"/>
    <mergeCell ref="R49:U49"/>
    <mergeCell ref="Y110:AA110"/>
    <mergeCell ref="W185:X185"/>
    <mergeCell ref="W21:X21"/>
    <mergeCell ref="Y63:AA63"/>
    <mergeCell ref="AB63:AC63"/>
    <mergeCell ref="R25:U25"/>
    <mergeCell ref="Y17:AA17"/>
    <mergeCell ref="P20:Q20"/>
    <mergeCell ref="R85:U85"/>
    <mergeCell ref="AB61:AC61"/>
    <mergeCell ref="R91:U91"/>
    <mergeCell ref="Y56:AA56"/>
    <mergeCell ref="AB69:AC69"/>
    <mergeCell ref="Y73:AA73"/>
    <mergeCell ref="AB62:AC62"/>
    <mergeCell ref="AB110:AC110"/>
    <mergeCell ref="AB85:AC85"/>
    <mergeCell ref="R178:U178"/>
    <mergeCell ref="AB170:AC170"/>
    <mergeCell ref="Y23:AA23"/>
    <mergeCell ref="P28:Q28"/>
    <mergeCell ref="W153:X153"/>
    <mergeCell ref="R123:U123"/>
    <mergeCell ref="W87:X87"/>
    <mergeCell ref="P43:Q43"/>
    <mergeCell ref="R99:U99"/>
    <mergeCell ref="W27:X27"/>
    <mergeCell ref="W32:X32"/>
    <mergeCell ref="P78:Q78"/>
    <mergeCell ref="W59:X59"/>
    <mergeCell ref="W61:X61"/>
    <mergeCell ref="AB59:AC59"/>
    <mergeCell ref="H79:L79"/>
    <mergeCell ref="Y81:AA81"/>
    <mergeCell ref="AD32:AH32"/>
    <mergeCell ref="H125:L125"/>
    <mergeCell ref="M50:O50"/>
    <mergeCell ref="P99:Q99"/>
    <mergeCell ref="P131:Q131"/>
    <mergeCell ref="W104:X104"/>
    <mergeCell ref="R70:U70"/>
    <mergeCell ref="Y83:AA83"/>
    <mergeCell ref="AD27:AH27"/>
    <mergeCell ref="AB75:AC75"/>
    <mergeCell ref="H106:L106"/>
    <mergeCell ref="Y36:AA36"/>
    <mergeCell ref="H72:L72"/>
    <mergeCell ref="H81:L81"/>
    <mergeCell ref="K63:O63"/>
    <mergeCell ref="Y118:AA118"/>
    <mergeCell ref="R129:U129"/>
    <mergeCell ref="J64:O64"/>
    <mergeCell ref="L82:O82"/>
    <mergeCell ref="P39:Q39"/>
    <mergeCell ref="Y50:AA50"/>
    <mergeCell ref="E64:I64"/>
    <mergeCell ref="M61:O61"/>
    <mergeCell ref="AB49:AC49"/>
    <mergeCell ref="AM34:AO34"/>
    <mergeCell ref="AD167:AH167"/>
    <mergeCell ref="P153:Q153"/>
    <mergeCell ref="AD161:AH161"/>
    <mergeCell ref="AD62:AH62"/>
    <mergeCell ref="AD58:AH58"/>
    <mergeCell ref="AB139:AC139"/>
    <mergeCell ref="W40:X40"/>
    <mergeCell ref="AB132:AC132"/>
    <mergeCell ref="AD78:AH78"/>
    <mergeCell ref="P67:Q67"/>
    <mergeCell ref="AD80:AH80"/>
    <mergeCell ref="J139:O139"/>
    <mergeCell ref="M46:O46"/>
    <mergeCell ref="F160:K160"/>
    <mergeCell ref="W148:X148"/>
    <mergeCell ref="Y143:AA143"/>
    <mergeCell ref="AD113:AH113"/>
    <mergeCell ref="P61:Q61"/>
    <mergeCell ref="E95:I95"/>
    <mergeCell ref="F118:K118"/>
    <mergeCell ref="AD90:AH90"/>
    <mergeCell ref="W154:X154"/>
    <mergeCell ref="H150:L150"/>
    <mergeCell ref="L52:O52"/>
    <mergeCell ref="W67:X67"/>
    <mergeCell ref="AB68:AC68"/>
    <mergeCell ref="P63:Q63"/>
    <mergeCell ref="F45:K45"/>
    <mergeCell ref="Y79:AA79"/>
    <mergeCell ref="AB93:AC93"/>
    <mergeCell ref="H107:L107"/>
    <mergeCell ref="Y92:AA92"/>
    <mergeCell ref="W81:X81"/>
    <mergeCell ref="W159:X159"/>
    <mergeCell ref="W72:X72"/>
    <mergeCell ref="Y58:AA58"/>
    <mergeCell ref="AB152:AC152"/>
    <mergeCell ref="AD29:AH29"/>
    <mergeCell ref="AB48:AC48"/>
    <mergeCell ref="AD70:AH70"/>
    <mergeCell ref="AD79:AH79"/>
    <mergeCell ref="AD63:AH63"/>
    <mergeCell ref="AD48:AH48"/>
    <mergeCell ref="AD152:AH152"/>
    <mergeCell ref="AD151:AH151"/>
    <mergeCell ref="M131:O131"/>
    <mergeCell ref="AD75:AH75"/>
    <mergeCell ref="M98:O98"/>
    <mergeCell ref="L96:O96"/>
    <mergeCell ref="P104:Q104"/>
    <mergeCell ref="H24:L24"/>
    <mergeCell ref="H26:L26"/>
    <mergeCell ref="F122:K122"/>
    <mergeCell ref="C62:F62"/>
    <mergeCell ref="AD23:AH23"/>
    <mergeCell ref="Y75:AA75"/>
    <mergeCell ref="J70:O70"/>
    <mergeCell ref="P84:Q84"/>
    <mergeCell ref="P117:Q117"/>
    <mergeCell ref="R97:U97"/>
    <mergeCell ref="W28:X28"/>
    <mergeCell ref="F169:K169"/>
    <mergeCell ref="AD38:AH38"/>
    <mergeCell ref="AD169:AH169"/>
    <mergeCell ref="W142:X142"/>
    <mergeCell ref="W167:X167"/>
    <mergeCell ref="W55:X55"/>
    <mergeCell ref="Y119:AA119"/>
    <mergeCell ref="W169:X169"/>
    <mergeCell ref="F71:K71"/>
    <mergeCell ref="Y104:AA104"/>
    <mergeCell ref="R80:U80"/>
    <mergeCell ref="M127:O127"/>
    <mergeCell ref="W79:X79"/>
    <mergeCell ref="W54:X54"/>
    <mergeCell ref="AB94:AC94"/>
    <mergeCell ref="AB72:AC72"/>
    <mergeCell ref="W140:X140"/>
    <mergeCell ref="AD119:AH119"/>
    <mergeCell ref="AD92:AH92"/>
    <mergeCell ref="F100:K100"/>
    <mergeCell ref="K116:O116"/>
    <mergeCell ref="W206:X206"/>
    <mergeCell ref="J88:O88"/>
    <mergeCell ref="AB204:AC204"/>
    <mergeCell ref="R165:U165"/>
    <mergeCell ref="R203:U203"/>
    <mergeCell ref="W75:X75"/>
    <mergeCell ref="W161:X161"/>
    <mergeCell ref="L199:O199"/>
    <mergeCell ref="P121:Q121"/>
    <mergeCell ref="W160:X160"/>
    <mergeCell ref="P140:Q140"/>
    <mergeCell ref="H22:L22"/>
    <mergeCell ref="M179:O179"/>
    <mergeCell ref="R172:U172"/>
    <mergeCell ref="AD21:AH21"/>
    <mergeCell ref="P210:Q210"/>
    <mergeCell ref="Y28:AA28"/>
    <mergeCell ref="W144:X144"/>
    <mergeCell ref="H146:L146"/>
    <mergeCell ref="P209:Q209"/>
    <mergeCell ref="AD95:AH95"/>
    <mergeCell ref="W102:X102"/>
    <mergeCell ref="P122:Q122"/>
    <mergeCell ref="AB175:AC175"/>
    <mergeCell ref="AD97:AH97"/>
    <mergeCell ref="R65:U65"/>
    <mergeCell ref="W103:X103"/>
    <mergeCell ref="Y167:AA167"/>
    <mergeCell ref="R50:U50"/>
    <mergeCell ref="H184:L184"/>
    <mergeCell ref="Y169:AA169"/>
    <mergeCell ref="W128:X128"/>
    <mergeCell ref="R84:U84"/>
    <mergeCell ref="M27:O27"/>
    <mergeCell ref="R42:U42"/>
    <mergeCell ref="AB41:AC41"/>
    <mergeCell ref="AB35:AC35"/>
    <mergeCell ref="B34:AE34"/>
    <mergeCell ref="AD77:AH77"/>
    <mergeCell ref="M53:O53"/>
    <mergeCell ref="W42:X42"/>
    <mergeCell ref="W41:X41"/>
    <mergeCell ref="H47:L47"/>
    <mergeCell ref="W210:X210"/>
    <mergeCell ref="R209:U209"/>
    <mergeCell ref="H201:L201"/>
    <mergeCell ref="M209:O209"/>
    <mergeCell ref="P65:Q65"/>
    <mergeCell ref="H126:L126"/>
    <mergeCell ref="P55:Q55"/>
    <mergeCell ref="L167:O167"/>
    <mergeCell ref="R204:U204"/>
    <mergeCell ref="Y198:AA198"/>
    <mergeCell ref="M161:O161"/>
    <mergeCell ref="H131:L131"/>
    <mergeCell ref="P207:Q207"/>
    <mergeCell ref="AB193:AC193"/>
    <mergeCell ref="P193:Q193"/>
    <mergeCell ref="M103:O103"/>
    <mergeCell ref="P56:Q56"/>
    <mergeCell ref="AB56:AC56"/>
    <mergeCell ref="AB176:AC176"/>
    <mergeCell ref="P205:Q205"/>
    <mergeCell ref="W204:X204"/>
    <mergeCell ref="W208:X208"/>
    <mergeCell ref="H204:L204"/>
    <mergeCell ref="P199:Q199"/>
    <mergeCell ref="Y200:AA200"/>
    <mergeCell ref="P179:Q179"/>
    <mergeCell ref="W200:X200"/>
    <mergeCell ref="M84:O84"/>
    <mergeCell ref="M80:O80"/>
    <mergeCell ref="Y207:AA207"/>
    <mergeCell ref="F157:K157"/>
    <mergeCell ref="L163:O163"/>
    <mergeCell ref="AD166:AH166"/>
    <mergeCell ref="P40:Q40"/>
    <mergeCell ref="Y127:AA127"/>
    <mergeCell ref="AD114:AH114"/>
    <mergeCell ref="AB36:AC36"/>
    <mergeCell ref="W157:X157"/>
    <mergeCell ref="AD163:AH163"/>
    <mergeCell ref="AD186:AH186"/>
    <mergeCell ref="R163:U163"/>
    <mergeCell ref="AD129:AH129"/>
    <mergeCell ref="P155:Q155"/>
    <mergeCell ref="R144:U144"/>
    <mergeCell ref="AB53:AC53"/>
    <mergeCell ref="P96:Q96"/>
    <mergeCell ref="Y148:AA148"/>
    <mergeCell ref="P159:Q159"/>
    <mergeCell ref="M206:O206"/>
    <mergeCell ref="E88:I88"/>
    <mergeCell ref="H127:L127"/>
    <mergeCell ref="W187:X187"/>
    <mergeCell ref="M197:O197"/>
    <mergeCell ref="H197:L197"/>
    <mergeCell ref="Y189:AA189"/>
    <mergeCell ref="AD42:AH42"/>
    <mergeCell ref="W49:X49"/>
    <mergeCell ref="W189:X189"/>
    <mergeCell ref="AB186:AC186"/>
    <mergeCell ref="AB195:AC195"/>
    <mergeCell ref="Y25:AA25"/>
    <mergeCell ref="M39:O39"/>
    <mergeCell ref="AD55:AH55"/>
    <mergeCell ref="K35:O35"/>
    <mergeCell ref="H40:L40"/>
    <mergeCell ref="AD133:AH133"/>
    <mergeCell ref="AD115:AH115"/>
    <mergeCell ref="AD66:AH66"/>
    <mergeCell ref="AD106:AH106"/>
    <mergeCell ref="AB45:AC45"/>
    <mergeCell ref="AD104:AH104"/>
    <mergeCell ref="M54:O54"/>
    <mergeCell ref="W36:X36"/>
    <mergeCell ref="Y93:AA93"/>
    <mergeCell ref="Y68:AA68"/>
    <mergeCell ref="AB95:AC95"/>
    <mergeCell ref="AB38:AC38"/>
    <mergeCell ref="W183:X183"/>
    <mergeCell ref="C172:J172"/>
    <mergeCell ref="W30:X30"/>
    <mergeCell ref="AB66:AC66"/>
    <mergeCell ref="P70:Q70"/>
    <mergeCell ref="W91:X91"/>
    <mergeCell ref="M171:O171"/>
    <mergeCell ref="AD189:AH189"/>
    <mergeCell ref="Y24:AA24"/>
    <mergeCell ref="E28:I28"/>
    <mergeCell ref="P124:Q124"/>
    <mergeCell ref="M141:O141"/>
    <mergeCell ref="R23:U23"/>
    <mergeCell ref="W48:X48"/>
    <mergeCell ref="AB160:AC160"/>
    <mergeCell ref="Y13:AA13"/>
    <mergeCell ref="J109:O109"/>
    <mergeCell ref="L174:O174"/>
    <mergeCell ref="Y72:AA72"/>
    <mergeCell ref="M195:O195"/>
    <mergeCell ref="AD172:AH172"/>
    <mergeCell ref="W16:X16"/>
    <mergeCell ref="W18:X18"/>
    <mergeCell ref="C13:J13"/>
    <mergeCell ref="H195:L195"/>
    <mergeCell ref="H189:L189"/>
    <mergeCell ref="AB25:AC25"/>
    <mergeCell ref="AB52:AC52"/>
    <mergeCell ref="J73:O73"/>
    <mergeCell ref="AB167:AC167"/>
    <mergeCell ref="W73:X73"/>
    <mergeCell ref="R66:U66"/>
    <mergeCell ref="AB84:AC84"/>
    <mergeCell ref="J117:O117"/>
    <mergeCell ref="H101:L101"/>
    <mergeCell ref="E36:I36"/>
    <mergeCell ref="R89:U89"/>
    <mergeCell ref="P177:Q177"/>
    <mergeCell ref="AB47:AC47"/>
    <mergeCell ref="W131:X131"/>
    <mergeCell ref="E18:I18"/>
    <mergeCell ref="AB16:AC16"/>
    <mergeCell ref="H87:L87"/>
    <mergeCell ref="L74:O74"/>
    <mergeCell ref="W105:X105"/>
    <mergeCell ref="F174:K174"/>
    <mergeCell ref="AE6:AF6"/>
    <mergeCell ref="P42:Q42"/>
    <mergeCell ref="AB137:AC137"/>
    <mergeCell ref="W38:X38"/>
    <mergeCell ref="R116:U116"/>
    <mergeCell ref="AD193:AH193"/>
    <mergeCell ref="U8:V8"/>
    <mergeCell ref="Y176:AA176"/>
    <mergeCell ref="W177:X177"/>
    <mergeCell ref="R77:U77"/>
    <mergeCell ref="R130:U130"/>
    <mergeCell ref="H51:L51"/>
    <mergeCell ref="M83:O83"/>
    <mergeCell ref="R10:U10"/>
    <mergeCell ref="F37:K37"/>
    <mergeCell ref="J18:O18"/>
    <mergeCell ref="R74:U74"/>
    <mergeCell ref="P118:Q118"/>
    <mergeCell ref="Y51:AA51"/>
    <mergeCell ref="R90:U90"/>
    <mergeCell ref="Y42:AA42"/>
    <mergeCell ref="W136:X136"/>
    <mergeCell ref="Y38:AA38"/>
    <mergeCell ref="R28:U28"/>
    <mergeCell ref="L143:O143"/>
    <mergeCell ref="P130:Q130"/>
    <mergeCell ref="B60:AE60"/>
    <mergeCell ref="C93:F93"/>
    <mergeCell ref="P132:Q132"/>
    <mergeCell ref="R131:U131"/>
    <mergeCell ref="R126:U126"/>
    <mergeCell ref="R109:U109"/>
    <mergeCell ref="P106:Q106"/>
    <mergeCell ref="AB91:AC91"/>
    <mergeCell ref="Y80:AA80"/>
    <mergeCell ref="M132:O132"/>
    <mergeCell ref="H75:L75"/>
    <mergeCell ref="A4:M4"/>
    <mergeCell ref="H102:L102"/>
    <mergeCell ref="P31:Q31"/>
    <mergeCell ref="AD187:AH187"/>
    <mergeCell ref="AB119:AC119"/>
    <mergeCell ref="AB37:AC37"/>
    <mergeCell ref="AD59:AH59"/>
    <mergeCell ref="AD69:AH69"/>
    <mergeCell ref="AD25:AH25"/>
    <mergeCell ref="R29:U29"/>
    <mergeCell ref="M47:O47"/>
    <mergeCell ref="R31:U31"/>
    <mergeCell ref="AD44:AH44"/>
    <mergeCell ref="AD141:AH141"/>
    <mergeCell ref="AD135:AH135"/>
    <mergeCell ref="AD68:AH68"/>
    <mergeCell ref="AD67:AH67"/>
    <mergeCell ref="R44:U44"/>
    <mergeCell ref="AD140:AH140"/>
    <mergeCell ref="W113:X113"/>
    <mergeCell ref="B86:AE86"/>
    <mergeCell ref="Y30:AA30"/>
    <mergeCell ref="R41:U41"/>
    <mergeCell ref="Y29:AA29"/>
    <mergeCell ref="AB124:AC124"/>
    <mergeCell ref="AD153:AH153"/>
    <mergeCell ref="H119:L119"/>
    <mergeCell ref="AB44:AC44"/>
    <mergeCell ref="P80:Q80"/>
    <mergeCell ref="AB102:AC102"/>
    <mergeCell ref="AD130:AH130"/>
    <mergeCell ref="AD150:AH150"/>
    <mergeCell ref="H145:L145"/>
    <mergeCell ref="A6:M6"/>
    <mergeCell ref="J14:O14"/>
    <mergeCell ref="M31:O31"/>
    <mergeCell ref="M26:O26"/>
    <mergeCell ref="H53:L53"/>
    <mergeCell ref="R27:U27"/>
    <mergeCell ref="Y95:AA95"/>
    <mergeCell ref="H25:L25"/>
    <mergeCell ref="AD19:AH19"/>
    <mergeCell ref="W129:X129"/>
    <mergeCell ref="W123:X123"/>
    <mergeCell ref="J28:O28"/>
    <mergeCell ref="P29:Q29"/>
    <mergeCell ref="R137:U137"/>
    <mergeCell ref="W71:X71"/>
    <mergeCell ref="AD91:AH91"/>
    <mergeCell ref="P129:Q129"/>
    <mergeCell ref="AD7:AG7"/>
    <mergeCell ref="M16:O16"/>
    <mergeCell ref="R96:U96"/>
    <mergeCell ref="P12:Q12"/>
    <mergeCell ref="Y47:AA47"/>
    <mergeCell ref="P10:Q10"/>
    <mergeCell ref="AM46:AO46"/>
    <mergeCell ref="AB42:AC42"/>
    <mergeCell ref="L78:O78"/>
    <mergeCell ref="H128:L128"/>
    <mergeCell ref="P57:Q57"/>
    <mergeCell ref="L71:O71"/>
    <mergeCell ref="P171:Q171"/>
    <mergeCell ref="F65:K65"/>
    <mergeCell ref="H27:L27"/>
    <mergeCell ref="R12:U12"/>
    <mergeCell ref="F15:K15"/>
    <mergeCell ref="M25:O25"/>
    <mergeCell ref="AB24:AC24"/>
    <mergeCell ref="AD10:AH10"/>
    <mergeCell ref="R59:U59"/>
    <mergeCell ref="R39:U39"/>
    <mergeCell ref="R14:U14"/>
    <mergeCell ref="E156:I156"/>
    <mergeCell ref="AB46:AC46"/>
    <mergeCell ref="Y161:AA161"/>
    <mergeCell ref="AD147:AH147"/>
    <mergeCell ref="AD93:AH93"/>
    <mergeCell ref="R150:U150"/>
    <mergeCell ref="W68:X68"/>
    <mergeCell ref="Y132:AA132"/>
    <mergeCell ref="H91:L91"/>
    <mergeCell ref="R122:U122"/>
    <mergeCell ref="Y152:AA152"/>
    <mergeCell ref="W111:X111"/>
    <mergeCell ref="P22:Q22"/>
    <mergeCell ref="Y120:AA120"/>
    <mergeCell ref="R133:U133"/>
    <mergeCell ref="W115:X115"/>
    <mergeCell ref="W65:X65"/>
    <mergeCell ref="AD98:AH98"/>
    <mergeCell ref="W76:X76"/>
    <mergeCell ref="Y106:AA106"/>
    <mergeCell ref="W143:X143"/>
    <mergeCell ref="AD22:AH22"/>
    <mergeCell ref="AB54:AC54"/>
    <mergeCell ref="R135:U135"/>
    <mergeCell ref="P58:Q58"/>
    <mergeCell ref="AB83:AC83"/>
    <mergeCell ref="Y40:AA40"/>
    <mergeCell ref="AD178:AH178"/>
    <mergeCell ref="M177:O177"/>
    <mergeCell ref="D152:O152"/>
    <mergeCell ref="P126:Q126"/>
    <mergeCell ref="R146:U146"/>
    <mergeCell ref="M165:O165"/>
    <mergeCell ref="AD47:AH47"/>
    <mergeCell ref="P142:Q142"/>
    <mergeCell ref="Y113:AA113"/>
    <mergeCell ref="AB28:AC28"/>
    <mergeCell ref="AD131:AH131"/>
    <mergeCell ref="W120:X120"/>
    <mergeCell ref="R76:U76"/>
    <mergeCell ref="Y64:AA64"/>
    <mergeCell ref="AD132:AH132"/>
    <mergeCell ref="H176:L176"/>
    <mergeCell ref="P105:Q105"/>
    <mergeCell ref="AD39:AH39"/>
    <mergeCell ref="M57:O57"/>
    <mergeCell ref="AB104:AC104"/>
    <mergeCell ref="W56:X56"/>
    <mergeCell ref="Y153:AA153"/>
    <mergeCell ref="R52:U52"/>
    <mergeCell ref="R162:U162"/>
    <mergeCell ref="P158:Q158"/>
    <mergeCell ref="AD76:AH76"/>
    <mergeCell ref="AB100:AC100"/>
    <mergeCell ref="W106:X106"/>
    <mergeCell ref="AB120:AC120"/>
    <mergeCell ref="W46:X46"/>
    <mergeCell ref="W31:X31"/>
    <mergeCell ref="Y39:AA39"/>
    <mergeCell ref="Y27:AA27"/>
    <mergeCell ref="AD65:AH65"/>
    <mergeCell ref="P103:Q103"/>
    <mergeCell ref="P97:Q97"/>
    <mergeCell ref="W93:X93"/>
    <mergeCell ref="Y67:AA67"/>
    <mergeCell ref="Y59:AA59"/>
    <mergeCell ref="AB157:AC157"/>
    <mergeCell ref="W119:X119"/>
    <mergeCell ref="Y149:AA149"/>
    <mergeCell ref="Y136:AA136"/>
    <mergeCell ref="R134:U134"/>
    <mergeCell ref="W150:X150"/>
    <mergeCell ref="Y150:AA150"/>
    <mergeCell ref="R43:U43"/>
    <mergeCell ref="Y31:AA31"/>
    <mergeCell ref="M123:O123"/>
    <mergeCell ref="O4:AA4"/>
    <mergeCell ref="R101:U101"/>
    <mergeCell ref="AD43:AH43"/>
    <mergeCell ref="Y114:AA114"/>
    <mergeCell ref="Y89:AA89"/>
    <mergeCell ref="P180:Q180"/>
    <mergeCell ref="F74:K74"/>
    <mergeCell ref="R100:U100"/>
    <mergeCell ref="AD11:AH11"/>
    <mergeCell ref="AB15:AC15"/>
    <mergeCell ref="Y10:AA10"/>
    <mergeCell ref="Y49:AA49"/>
    <mergeCell ref="F149:K149"/>
    <mergeCell ref="Y163:AA163"/>
    <mergeCell ref="H111:L111"/>
    <mergeCell ref="Y121:AA121"/>
    <mergeCell ref="Y115:AA115"/>
    <mergeCell ref="L59:O59"/>
    <mergeCell ref="P178:Q178"/>
    <mergeCell ref="M43:O43"/>
    <mergeCell ref="R108:U108"/>
    <mergeCell ref="R124:U124"/>
    <mergeCell ref="R118:U118"/>
    <mergeCell ref="H55:L55"/>
    <mergeCell ref="AB121:AC121"/>
    <mergeCell ref="P35:Q35"/>
    <mergeCell ref="AD120:AH120"/>
    <mergeCell ref="Y140:AA140"/>
    <mergeCell ref="Y141:AA141"/>
    <mergeCell ref="AB116:AC116"/>
    <mergeCell ref="W151:X151"/>
    <mergeCell ref="AD144:AH144"/>
    <mergeCell ref="J36:O36"/>
    <mergeCell ref="H190:L190"/>
    <mergeCell ref="R61:U61"/>
    <mergeCell ref="R188:U188"/>
    <mergeCell ref="AB123:AC123"/>
    <mergeCell ref="R153:U153"/>
    <mergeCell ref="M208:O208"/>
    <mergeCell ref="Y170:AA170"/>
    <mergeCell ref="H166:L166"/>
    <mergeCell ref="H175:L175"/>
    <mergeCell ref="R152:U152"/>
    <mergeCell ref="AD177:AH177"/>
    <mergeCell ref="R171:U171"/>
    <mergeCell ref="Y159:AA159"/>
    <mergeCell ref="A9:O9"/>
    <mergeCell ref="AD41:AH41"/>
    <mergeCell ref="Y87:AA87"/>
    <mergeCell ref="J156:O156"/>
    <mergeCell ref="P150:Q150"/>
    <mergeCell ref="P176:Q176"/>
    <mergeCell ref="AB40:AC40"/>
    <mergeCell ref="R81:U81"/>
    <mergeCell ref="P87:Q87"/>
    <mergeCell ref="L118:O118"/>
    <mergeCell ref="I114:O114"/>
    <mergeCell ref="P89:Q89"/>
    <mergeCell ref="P88:Q88"/>
    <mergeCell ref="AD96:AH96"/>
    <mergeCell ref="W78:X78"/>
    <mergeCell ref="Y172:AA172"/>
    <mergeCell ref="C116:J116"/>
    <mergeCell ref="P163:Q163"/>
    <mergeCell ref="P33:Q33"/>
    <mergeCell ref="AB128:AC128"/>
    <mergeCell ref="AB183:AC183"/>
    <mergeCell ref="AB177:AC177"/>
    <mergeCell ref="M119:O119"/>
    <mergeCell ref="AB97:AC97"/>
    <mergeCell ref="A7:O7"/>
    <mergeCell ref="Y85:AA85"/>
    <mergeCell ref="AB212:AC212"/>
    <mergeCell ref="W80:X80"/>
    <mergeCell ref="AB206:AC206"/>
    <mergeCell ref="R58:U58"/>
    <mergeCell ref="R33:U33"/>
    <mergeCell ref="AB178:AC178"/>
    <mergeCell ref="Y46:AA46"/>
    <mergeCell ref="H192:L192"/>
    <mergeCell ref="P115:Q115"/>
    <mergeCell ref="Y12:AA12"/>
    <mergeCell ref="Y48:AA48"/>
    <mergeCell ref="AB207:AC207"/>
    <mergeCell ref="M211:O211"/>
    <mergeCell ref="P49:Q49"/>
    <mergeCell ref="I11:O11"/>
    <mergeCell ref="Y41:AA41"/>
    <mergeCell ref="Y43:AA43"/>
    <mergeCell ref="P14:Q14"/>
    <mergeCell ref="H30:L30"/>
    <mergeCell ref="R68:U68"/>
    <mergeCell ref="W198:X198"/>
    <mergeCell ref="AB208:AC208"/>
    <mergeCell ref="H158:L158"/>
    <mergeCell ref="AB19:AC19"/>
    <mergeCell ref="AD122:AH122"/>
    <mergeCell ref="AD83:AH83"/>
    <mergeCell ref="P51:Q51"/>
    <mergeCell ref="Y57:AA57"/>
    <mergeCell ref="Y62:AA62"/>
    <mergeCell ref="Y212:AA212"/>
    <mergeCell ref="R208:U208"/>
    <mergeCell ref="R201:U201"/>
    <mergeCell ref="AB169:AC169"/>
    <mergeCell ref="AB210:AC210"/>
    <mergeCell ref="M192:O192"/>
    <mergeCell ref="R170:U170"/>
    <mergeCell ref="R199:U199"/>
    <mergeCell ref="Y187:AA187"/>
    <mergeCell ref="W74:X74"/>
    <mergeCell ref="W163:X163"/>
    <mergeCell ref="P161:Q161"/>
    <mergeCell ref="W89:X89"/>
    <mergeCell ref="P141:Q141"/>
    <mergeCell ref="L130:O130"/>
    <mergeCell ref="AD116:AH116"/>
    <mergeCell ref="P143:Q143"/>
    <mergeCell ref="AB196:AC196"/>
    <mergeCell ref="Y74:AA74"/>
    <mergeCell ref="R166:U166"/>
    <mergeCell ref="Y154:AA154"/>
    <mergeCell ref="P125:Q125"/>
    <mergeCell ref="M87:O87"/>
    <mergeCell ref="H205:L205"/>
    <mergeCell ref="AD184:AH184"/>
    <mergeCell ref="P189:Q189"/>
    <mergeCell ref="Y78:AA78"/>
    <mergeCell ref="P211:Q211"/>
    <mergeCell ref="Y196:AA196"/>
    <mergeCell ref="Y205:AA205"/>
    <mergeCell ref="AD46:AH46"/>
    <mergeCell ref="P154:Q154"/>
    <mergeCell ref="R13:U13"/>
    <mergeCell ref="Y116:AA116"/>
    <mergeCell ref="AB17:AC17"/>
    <mergeCell ref="Y98:AA98"/>
    <mergeCell ref="H147:L147"/>
    <mergeCell ref="R26:U26"/>
    <mergeCell ref="AD87:AH87"/>
    <mergeCell ref="AD173:AH173"/>
    <mergeCell ref="P69:Q69"/>
    <mergeCell ref="I92:O92"/>
    <mergeCell ref="AB106:AC106"/>
    <mergeCell ref="AB55:AC55"/>
    <mergeCell ref="AD204:AH204"/>
    <mergeCell ref="AD206:AH206"/>
    <mergeCell ref="Y206:AA206"/>
    <mergeCell ref="M193:O193"/>
    <mergeCell ref="W196:X196"/>
    <mergeCell ref="R24:U24"/>
    <mergeCell ref="H183:L183"/>
    <mergeCell ref="AD210:AH210"/>
    <mergeCell ref="R98:U98"/>
    <mergeCell ref="H38:L38"/>
    <mergeCell ref="AB29:AC29"/>
    <mergeCell ref="R190:U190"/>
    <mergeCell ref="Y178:AA178"/>
    <mergeCell ref="M90:O90"/>
    <mergeCell ref="H168:L1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0"/>
  <sheetViews>
    <sheetView workbookViewId="0">
      <selection activeCell="B3" sqref="B3:B10"/>
    </sheetView>
  </sheetViews>
  <sheetFormatPr defaultRowHeight="15"/>
  <cols>
    <col min="1" max="1" width="1.28515625" customWidth="1"/>
    <col min="2" max="2" width="23.85546875" customWidth="1"/>
    <col min="3" max="3" width="4.7109375" customWidth="1"/>
    <col min="4" max="4" width="12.28515625" style="1" customWidth="1"/>
    <col min="5" max="5" width="6.28515625" style="1" customWidth="1"/>
    <col min="6" max="6" width="22.7109375" customWidth="1"/>
    <col min="7" max="7" width="4.5703125" customWidth="1"/>
    <col min="8" max="8" width="19.5703125" customWidth="1"/>
    <col min="9" max="9" width="4.140625" customWidth="1"/>
    <col min="10" max="10" width="34.28515625" customWidth="1"/>
  </cols>
  <sheetData>
    <row r="2" spans="2:10" s="35" customFormat="1">
      <c r="B2" s="34" t="s">
        <v>263</v>
      </c>
      <c r="F2" s="36" t="s">
        <v>264</v>
      </c>
      <c r="H2" s="35" t="s">
        <v>15</v>
      </c>
      <c r="J2" s="35" t="s">
        <v>265</v>
      </c>
    </row>
    <row r="3" spans="2:10">
      <c r="B3" t="s">
        <v>22</v>
      </c>
      <c r="D3" s="1">
        <v>6277</v>
      </c>
      <c r="F3" t="s">
        <v>294</v>
      </c>
      <c r="H3" t="s">
        <v>267</v>
      </c>
      <c r="J3" t="s">
        <v>310</v>
      </c>
    </row>
    <row r="4" spans="2:10">
      <c r="B4" t="s">
        <v>23</v>
      </c>
      <c r="D4" s="1">
        <v>6278</v>
      </c>
      <c r="F4" t="s">
        <v>268</v>
      </c>
      <c r="H4" t="s">
        <v>269</v>
      </c>
      <c r="J4" t="s">
        <v>305</v>
      </c>
    </row>
    <row r="5" spans="2:10">
      <c r="B5" t="s">
        <v>17</v>
      </c>
      <c r="D5" s="1">
        <v>6279</v>
      </c>
      <c r="F5" t="s">
        <v>266</v>
      </c>
      <c r="J5" t="s">
        <v>270</v>
      </c>
    </row>
    <row r="6" spans="2:10">
      <c r="B6" t="s">
        <v>24</v>
      </c>
      <c r="D6" s="1">
        <v>6280</v>
      </c>
      <c r="F6" t="s">
        <v>293</v>
      </c>
      <c r="J6" t="s">
        <v>271</v>
      </c>
    </row>
    <row r="7" spans="2:10">
      <c r="B7" t="s">
        <v>25</v>
      </c>
      <c r="D7" s="1">
        <v>7992.1009999999997</v>
      </c>
    </row>
    <row r="8" spans="2:10">
      <c r="B8" t="s">
        <v>26</v>
      </c>
      <c r="D8" s="1">
        <v>7992.1019999999999</v>
      </c>
    </row>
    <row r="9" spans="2:10">
      <c r="B9" s="63" t="s">
        <v>273</v>
      </c>
      <c r="D9" s="1">
        <v>6301</v>
      </c>
    </row>
    <row r="10" spans="2:10">
      <c r="B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MONITORING </vt:lpstr>
      <vt:lpstr>Monitoring_LS</vt:lpstr>
      <vt:lpstr>Monitoring_UP,KKP,TUP</vt:lpstr>
      <vt:lpstr>RAW_SP2D</vt:lpstr>
      <vt:lpstr>X</vt:lpstr>
      <vt:lpstr>Master_Data</vt:lpstr>
      <vt:lpstr>'MONITORING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Aelvin Zya</dc:creator>
  <cp:lastModifiedBy>Aelvin Zya</cp:lastModifiedBy>
  <cp:lastPrinted>2026-06-14T10:55:14Z</cp:lastPrinted>
  <dcterms:created xsi:type="dcterms:W3CDTF">2026-05-27T05:03:44Z</dcterms:created>
  <dcterms:modified xsi:type="dcterms:W3CDTF">2026-06-16T11:40:09Z</dcterms:modified>
</cp:coreProperties>
</file>